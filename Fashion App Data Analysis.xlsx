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bf986ce9bab64b2/Documents/project 3/"/>
    </mc:Choice>
  </mc:AlternateContent>
  <xr:revisionPtr revIDLastSave="0" documentId="14_{9ECA4162-E410-4941-9D39-21F0A0A491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 data " sheetId="1" r:id="rId1"/>
    <sheet name="analysis dashboard" sheetId="3" r:id="rId2"/>
    <sheet name="theme identfication" sheetId="4" r:id="rId3"/>
    <sheet name="Group feedback" sheetId="6" r:id="rId4"/>
    <sheet name="Highlight Key Quotes" sheetId="5" r:id="rId5"/>
  </sheets>
  <definedNames>
    <definedName name="_xlnm._FilterDatabase" localSheetId="0" hidden="1">'raw data '!$A$1:$X$7</definedName>
  </definedNames>
  <calcPr calcId="181029"/>
</workbook>
</file>

<file path=xl/calcChain.xml><?xml version="1.0" encoding="utf-8"?>
<calcChain xmlns="http://schemas.openxmlformats.org/spreadsheetml/2006/main">
  <c r="B10" i="1" l="1"/>
  <c r="P8" i="1"/>
  <c r="O8" i="1"/>
  <c r="N8" i="1"/>
  <c r="M8" i="1"/>
  <c r="L8" i="1"/>
  <c r="K8" i="1"/>
  <c r="E8" i="1"/>
  <c r="B9" i="1"/>
  <c r="B8" i="1"/>
</calcChain>
</file>

<file path=xl/sharedStrings.xml><?xml version="1.0" encoding="utf-8"?>
<sst xmlns="http://schemas.openxmlformats.org/spreadsheetml/2006/main" count="458" uniqueCount="205">
  <si>
    <t>#</t>
  </si>
  <si>
    <t>Other</t>
  </si>
  <si>
    <t>Wishlist/Favorites</t>
  </si>
  <si>
    <t>Personalized suggestions</t>
  </si>
  <si>
    <t>One-click checkout</t>
  </si>
  <si>
    <t>Style recommendations</t>
  </si>
  <si>
    <t>Track delivery updates</t>
  </si>
  <si>
    <t>Response Type</t>
  </si>
  <si>
    <t>Start Date (UTC)</t>
  </si>
  <si>
    <t>Stage Date (UTC)</t>
  </si>
  <si>
    <t>Submit Date (UTC)</t>
  </si>
  <si>
    <t>Network ID</t>
  </si>
  <si>
    <t>Tags</t>
  </si>
  <si>
    <t>Ending</t>
  </si>
  <si>
    <t>18guitfjr7dlgggokc7918guiyg3aoun</t>
  </si>
  <si>
    <t>18-21</t>
  </si>
  <si>
    <t>female</t>
  </si>
  <si>
    <t>Yes</t>
  </si>
  <si>
    <t>Once a month</t>
  </si>
  <si>
    <t>Amazon</t>
  </si>
  <si>
    <t/>
  </si>
  <si>
    <t>Mobile</t>
  </si>
  <si>
    <t>Cart gets emptied</t>
  </si>
  <si>
    <t>Sudden delivery</t>
  </si>
  <si>
    <t>completed</t>
  </si>
  <si>
    <t>2025-08-18 16:28:32</t>
  </si>
  <si>
    <t>2025-08-18 16:29:54</t>
  </si>
  <si>
    <t>5fb524ef9f</t>
  </si>
  <si>
    <t>Thank you for your time!</t>
  </si>
  <si>
    <t>anon1smqe2u2m8sucrnnanoo2ugt9u6l</t>
  </si>
  <si>
    <t>Once a week</t>
  </si>
  <si>
    <t>Instagram Shops</t>
  </si>
  <si>
    <t>Checkout is too long</t>
  </si>
  <si>
    <t>2025-08-18 16:01:47</t>
  </si>
  <si>
    <t>2025-08-18 16:03:33</t>
  </si>
  <si>
    <t>8c4fc068d7</t>
  </si>
  <si>
    <t>jzfkkwbj4abs6okb0jzfkkqapnm56l68</t>
  </si>
  <si>
    <t>22-25</t>
  </si>
  <si>
    <t>Male</t>
  </si>
  <si>
    <t>No</t>
  </si>
  <si>
    <t>2025-08-18 15:55:36</t>
  </si>
  <si>
    <t>2025-08-18 15:56:08</t>
  </si>
  <si>
    <t>2c4adfd36a</t>
  </si>
  <si>
    <t>mmu34szc6vtijgynmmu34s8eybvntim1</t>
  </si>
  <si>
    <t>Flipkart</t>
  </si>
  <si>
    <t>Perfume</t>
  </si>
  <si>
    <t>2025-08-18 15:42:08</t>
  </si>
  <si>
    <t>2025-08-18 15:47:40</t>
  </si>
  <si>
    <t>63a53d1ec1</t>
  </si>
  <si>
    <t>jga7o4xsivr2q03n1jga7ofwdjwuyms1</t>
  </si>
  <si>
    <t>Desktop</t>
  </si>
  <si>
    <t>No real customer reviews</t>
  </si>
  <si>
    <t>It's nice</t>
  </si>
  <si>
    <t>2025-08-18 15:27:10</t>
  </si>
  <si>
    <t>2025-08-18 15:29:05</t>
  </si>
  <si>
    <t>e0f6271760</t>
  </si>
  <si>
    <t>p5kyyllc4pkn2c6cifqp5kyylqzy5dkc</t>
  </si>
  <si>
    <t>over 35</t>
  </si>
  <si>
    <t>2025-08-18 15:15:05</t>
  </si>
  <si>
    <t>2025-08-18 15:15:09</t>
  </si>
  <si>
    <t>16550e791b</t>
  </si>
  <si>
    <t xml:space="preserve"> age group</t>
  </si>
  <si>
    <t>gender</t>
  </si>
  <si>
    <t xml:space="preserve"> shoping frequently</t>
  </si>
  <si>
    <t xml:space="preserve"> shop for fashion</t>
  </si>
  <si>
    <t xml:space="preserve"> platforms for fashion shopping</t>
  </si>
  <si>
    <t xml:space="preserve"> device</t>
  </si>
  <si>
    <t xml:space="preserve"> shopping for clothes online</t>
  </si>
  <si>
    <t xml:space="preserve"> abandoned a shopping</t>
  </si>
  <si>
    <t xml:space="preserve">Size </t>
  </si>
  <si>
    <t xml:space="preserve"> dream fashion shopping app </t>
  </si>
  <si>
    <t>age group</t>
  </si>
  <si>
    <t>persentage</t>
  </si>
  <si>
    <t>count</t>
  </si>
  <si>
    <t xml:space="preserve">device </t>
  </si>
  <si>
    <t xml:space="preserve">persentage </t>
  </si>
  <si>
    <t xml:space="preserve">mobile </t>
  </si>
  <si>
    <t>desktop</t>
  </si>
  <si>
    <t>3</t>
  </si>
  <si>
    <t>1</t>
  </si>
  <si>
    <t>create a summery table for all age groups</t>
  </si>
  <si>
    <t>create a summery table for all devices</t>
  </si>
  <si>
    <t>create a shoping frequency by age group</t>
  </si>
  <si>
    <t>once a month</t>
  </si>
  <si>
    <t>once a week</t>
  </si>
  <si>
    <t>2</t>
  </si>
  <si>
    <t>Tag</t>
  </si>
  <si>
    <t>#Once a week###</t>
  </si>
  <si>
    <t>#Once a month#Mobile##</t>
  </si>
  <si>
    <r>
      <t>#Once a month#Mobile</t>
    </r>
    <r>
      <rPr>
        <i/>
        <sz val="11"/>
        <color theme="1"/>
        <rFont val="Arial"/>
        <family val="2"/>
      </rPr>
      <t>#Amazon</t>
    </r>
    <r>
      <rPr>
        <sz val="11"/>
        <color theme="1"/>
        <rFont val="Arial"/>
        <family val="2"/>
      </rPr>
      <t>#Cart gets emptied</t>
    </r>
  </si>
  <si>
    <t>#Once a week#Mobile#Instagram Shops#Checkout is too long</t>
  </si>
  <si>
    <t>##Desktop#Amazon#No real customer reviews</t>
  </si>
  <si>
    <t>Pain Points</t>
  </si>
  <si>
    <t>Response ID</t>
  </si>
  <si>
    <t>Explanation</t>
  </si>
  <si>
    <t>#UnclearSizing', #PoorlmageQuality</t>
  </si>
  <si>
    <t>#SlowDelivery', #LimitedPaymentOptions*</t>
  </si>
  <si>
    <t>#DifficultRetums", "#SlowDelivery</t>
  </si>
  <si>
    <t>'#UnclearSizing', "#SlowDelivery</t>
  </si>
  <si>
    <t>'#PoorlmageQuality</t>
  </si>
  <si>
    <t>#DifficultRetums", "#LimitedPaymentOptions"</t>
  </si>
  <si>
    <t>Binary data shows undlear sizing and poor-quality images.</t>
  </si>
  <si>
    <t>User reported slow delivery and limited payment
methods.</t>
  </si>
  <si>
    <t>Feedback mentions the need for easier returns and faster delivery.</t>
  </si>
  <si>
    <t>User feedback indicates unclear sizing and issues with delivery time</t>
  </si>
  <si>
    <t>User mentioned poor style recommendations and AR
visualization, but binary data shows image issues.</t>
  </si>
  <si>
    <t>User feedback aligns with binary data for returns and payment issues.</t>
  </si>
  <si>
    <t>Tag Descriptions</t>
  </si>
  <si>
    <t>Description</t>
  </si>
  <si>
    <t>#UnclearSizing</t>
  </si>
  <si>
    <t>#PoorlmageQuality</t>
  </si>
  <si>
    <t>#ComplicatedCheckout"</t>
  </si>
  <si>
    <t>#LimitedPaymentOptions'</t>
  </si>
  <si>
    <t>#SlowDelivery</t>
  </si>
  <si>
    <t>#DiffcultReturns'</t>
  </si>
  <si>
    <t>Users struggle with unclear or inconsistent size charts across brands</t>
  </si>
  <si>
    <t>Product images are low quality or do not show enough details</t>
  </si>
  <si>
    <t>Users find the checkout process confusing or difficult to navigate.</t>
  </si>
  <si>
    <t>Delivery times are too long, and tracking may not be available.</t>
  </si>
  <si>
    <t>Feature Request</t>
  </si>
  <si>
    <t>#SizeRecommendation", "#DetailedPhotos"</t>
  </si>
  <si>
    <t>#PersonalizedRecommendations'</t>
  </si>
  <si>
    <t>#Wishlist, "#PriceDropAlerts</t>
  </si>
  <si>
    <t>#VirtualTryOn</t>
  </si>
  <si>
    <t>#StyleRecommendations", "#ARVisualization'</t>
  </si>
  <si>
    <t>#PersonalizedRecommendations"</t>
  </si>
  <si>
    <t>User requested better size recommendations and high-quality product images from multiple angles.</t>
  </si>
  <si>
    <t>User asked for personalized outfit suggestions based on their style preferences and past purchases.</t>
  </si>
  <si>
    <t>User requested a wishlist feature and alerts for price drops on products.</t>
  </si>
  <si>
    <t>User mentioned the need for a virtual try-on feature to
better visualize clothing before purchasing</t>
  </si>
  <si>
    <t>User asked for better style recommendations and AR visualization to see how clothes fit</t>
  </si>
  <si>
    <t>User requested price drop notifications and personalized recommendations for better shopping</t>
  </si>
  <si>
    <t>#SizeRecommendation</t>
  </si>
  <si>
    <t>#Outf#Suggestions</t>
  </si>
  <si>
    <t>#Wishlist</t>
  </si>
  <si>
    <t>#PriceDropAlerts'</t>
  </si>
  <si>
    <t>Users want a feature to virtually try on clothes before purchasing</t>
  </si>
  <si>
    <t>Users want better size recommendations tailored to their body type</t>
  </si>
  <si>
    <t>Users want the ability to save items for future reference in a wishlist.</t>
  </si>
  <si>
    <t>Users want style or outfit suggestions based on their preferences or past purchases</t>
  </si>
  <si>
    <t>Users want alerts for when the price of a product drops</t>
  </si>
  <si>
    <t>Users want shopping recommendations based on their preferences and browsing history</t>
  </si>
  <si>
    <t>User Goals</t>
  </si>
  <si>
    <t>#BetterSizing', '#EnhancedExperience</t>
  </si>
  <si>
    <t>#StyleRecommendations</t>
  </si>
  <si>
    <t>#QuickNavgation' #Convenence</t>
  </si>
  <si>
    <t xml:space="preserve">#EffortlessRetums", #FasterDelivery
</t>
  </si>
  <si>
    <t>#StyleRecommendations
#PersonalizedExperience</t>
  </si>
  <si>
    <t>#StyleRecommendations"</t>
  </si>
  <si>
    <t>#BetterPricing #Convenience'</t>
  </si>
  <si>
    <t>User mentioned needing better size recommendations
and improvements to their shopping expenience</t>
  </si>
  <si>
    <t>User wanted personalized outfit suggestions and
style-based recommendations</t>
  </si>
  <si>
    <t>User requested easier returhs and faster delivery to
improve the shopping process.</t>
  </si>
  <si>
    <t>User wanted better navigation and simplicity for finding
clothes quckly</t>
  </si>
  <si>
    <t>User focused on style-based recommendations and
enhanced visualization tools (AR)</t>
  </si>
  <si>
    <t>User requested notifications for price drops and a
smoother shopping expedience</t>
  </si>
  <si>
    <t>#BetterPricing</t>
  </si>
  <si>
    <t>#QuickNavigation</t>
  </si>
  <si>
    <t>#EffortlessRetums*</t>
  </si>
  <si>
    <t>#EnhancedExpenence</t>
  </si>
  <si>
    <t>#FasterDelwery</t>
  </si>
  <si>
    <t>Users want better pricing options, discounts, and price drop
notifications</t>
  </si>
  <si>
    <t>Users want a faster, more intuitive shopping expenence with better
search and navigation tools.</t>
  </si>
  <si>
    <t>Users want a simpler and faster retum process for purchased items</t>
  </si>
  <si>
    <t>Users want style-based recommendations tailored to their preferences</t>
  </si>
  <si>
    <t>Users want an overall better shopping expenence with features like AR
and improved visuals</t>
  </si>
  <si>
    <t>Users want faster delivery times and clear delivery tracking</t>
  </si>
  <si>
    <t>Users face issues with restricted payment methods or lack of digital delivery time.payment options.</t>
  </si>
  <si>
    <t>Users experience problems with retum policies or processes, making it payment issues.
harder to return products</t>
  </si>
  <si>
    <t>shopping behaviour</t>
  </si>
  <si>
    <t>Tags to Response</t>
  </si>
  <si>
    <t>Group feedback Table</t>
  </si>
  <si>
    <t>#StowDelivery</t>
  </si>
  <si>
    <t>#PriceDropAlerts</t>
  </si>
  <si>
    <t>#EffortlessReturns</t>
  </si>
  <si>
    <t>Responses</t>
  </si>
  <si>
    <t>"Size charts are confusing across brands."</t>
  </si>
  <si>
    <t>Users struggle with unclear or inconsistent size charts.</t>
  </si>
  <si>
    <t>"Need high-quality product images from multiple angle"</t>
  </si>
  <si>
    <t>"Delivery takes too long, and there's no tracking
available."</t>
  </si>
  <si>
    <t>"Would like faster delivery and better shipping
options."</t>
  </si>
  <si>
    <t>"Want virtual try-on to see how clothes look on me before purchasing."</t>
  </si>
  <si>
    <t>Would like price drop notifications for products I've
saved.</t>
  </si>
  <si>
    <t>Users want better-quality images to evaluate products
effectively</t>
  </si>
  <si>
    <t>Users are frustrated with long delivery times and lack
of tracking options.</t>
  </si>
  <si>
    <t>Users want a feature to visualize clothing before
making a purchase.</t>
  </si>
  <si>
    <t>Users want alerts for discounts or price reductions.</t>
  </si>
  <si>
    <t>Users want a hassle-free return process to improve the shopping experience.</t>
  </si>
  <si>
    <t>Highlight Key
Quotes</t>
  </si>
  <si>
    <t>User Quotes</t>
  </si>
  <si>
    <t>Category</t>
  </si>
  <si>
    <t>Need better size recommendations for
different body types."</t>
  </si>
  <si>
    <t>"Would like faster delivery and better
shipping options."</t>
  </si>
  <si>
    <t>"Virtual try-on would help me avoid
returns."</t>
  </si>
  <si>
    <t>"Would like price drop notifications for
products l've saved."</t>
  </si>
  <si>
    <t>"Need free home delivery and easier
returns process with pickup from home."</t>
  </si>
  <si>
    <t>"Need high-quality product images from multiple angles.</t>
  </si>
  <si>
    <t>Pain Point</t>
  </si>
  <si>
    <t>User Goal</t>
  </si>
  <si>
    <t>Users are struggling with inconsistent or
unclear size charts across brands</t>
  </si>
  <si>
    <t>Users want better-quality images to
evaluate products effectively.</t>
  </si>
  <si>
    <t>Users are frustrated with long delivery
times and lack of tracking options</t>
  </si>
  <si>
    <t>Users want a feature to visualize clothing
before making a purchase.</t>
  </si>
  <si>
    <t>Users want alerts for discounts or price
reductions.</t>
  </si>
  <si>
    <t>Users want a hassle-free retum process
to improve the shopping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</si>
</sst>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Arial"/>
    </font>
    <font>
      <sz val="11"/>
      <color theme="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1"/>
      <color theme="1"/>
      <name val="Arial"/>
      <family val="2"/>
    </font>
    <font>
      <sz val="11"/>
      <color theme="0" tint="-4.9989318521683403E-2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</font>
    <font>
      <b/>
      <sz val="18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49" fontId="0" fillId="0" borderId="0" xfId="0" applyNumberFormat="1"/>
    <xf numFmtId="49" fontId="0" fillId="3" borderId="0" xfId="0" applyNumberFormat="1" applyFill="1"/>
    <xf numFmtId="0" fontId="1" fillId="2" borderId="1" xfId="0" applyFont="1" applyFill="1" applyBorder="1" applyAlignment="1">
      <alignment vertical="center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 wrapText="1"/>
    </xf>
    <xf numFmtId="49" fontId="2" fillId="0" borderId="0" xfId="0" applyNumberFormat="1" applyFont="1"/>
    <xf numFmtId="49" fontId="2" fillId="3" borderId="0" xfId="0" applyNumberFormat="1" applyFont="1" applyFill="1"/>
    <xf numFmtId="0" fontId="1" fillId="4" borderId="1" xfId="0" applyFont="1" applyFill="1" applyBorder="1" applyAlignment="1">
      <alignment vertical="center"/>
    </xf>
    <xf numFmtId="49" fontId="1" fillId="4" borderId="0" xfId="0" applyNumberFormat="1" applyFont="1" applyFill="1"/>
    <xf numFmtId="0" fontId="2" fillId="0" borderId="0" xfId="0" applyFont="1"/>
    <xf numFmtId="10" fontId="2" fillId="0" borderId="0" xfId="0" applyNumberFormat="1" applyFont="1"/>
    <xf numFmtId="2" fontId="0" fillId="5" borderId="0" xfId="0" applyNumberFormat="1" applyFill="1" applyAlignment="1">
      <alignment horizontal="center"/>
    </xf>
    <xf numFmtId="2" fontId="2" fillId="5" borderId="0" xfId="0" applyNumberFormat="1" applyFont="1" applyFill="1" applyAlignment="1">
      <alignment horizontal="center"/>
    </xf>
    <xf numFmtId="49" fontId="0" fillId="5" borderId="0" xfId="0" applyNumberFormat="1" applyFill="1"/>
    <xf numFmtId="0" fontId="0" fillId="5" borderId="0" xfId="0" applyFill="1"/>
    <xf numFmtId="0" fontId="4" fillId="5" borderId="1" xfId="0" applyFont="1" applyFill="1" applyBorder="1" applyAlignment="1">
      <alignment vertical="center"/>
    </xf>
    <xf numFmtId="49" fontId="1" fillId="6" borderId="0" xfId="0" applyNumberFormat="1" applyFont="1" applyFill="1"/>
    <xf numFmtId="49" fontId="1" fillId="7" borderId="0" xfId="0" applyNumberFormat="1" applyFont="1" applyFill="1"/>
    <xf numFmtId="49" fontId="6" fillId="7" borderId="0" xfId="0" applyNumberFormat="1" applyFont="1" applyFill="1"/>
    <xf numFmtId="49" fontId="6" fillId="6" borderId="0" xfId="0" applyNumberFormat="1" applyFont="1" applyFill="1"/>
    <xf numFmtId="49" fontId="1" fillId="6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" fillId="7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0" fontId="1" fillId="6" borderId="0" xfId="0" applyNumberFormat="1" applyFont="1" applyFill="1" applyAlignment="1">
      <alignment horizontal="center" vertical="center"/>
    </xf>
    <xf numFmtId="10" fontId="5" fillId="7" borderId="0" xfId="0" applyNumberFormat="1" applyFont="1" applyFill="1" applyAlignment="1">
      <alignment horizontal="center" vertical="center"/>
    </xf>
    <xf numFmtId="49" fontId="1" fillId="8" borderId="0" xfId="0" applyNumberFormat="1" applyFont="1" applyFill="1"/>
    <xf numFmtId="49" fontId="1" fillId="8" borderId="0" xfId="0" applyNumberFormat="1" applyFont="1" applyFill="1" applyAlignment="1">
      <alignment horizontal="center" vertical="center"/>
    </xf>
    <xf numFmtId="49" fontId="1" fillId="8" borderId="0" xfId="0" applyNumberFormat="1" applyFont="1" applyFill="1" applyAlignment="1">
      <alignment vertical="center"/>
    </xf>
    <xf numFmtId="49" fontId="6" fillId="8" borderId="0" xfId="0" applyNumberFormat="1" applyFont="1" applyFill="1" applyAlignment="1">
      <alignment horizontal="left"/>
    </xf>
    <xf numFmtId="49" fontId="6" fillId="6" borderId="3" xfId="0" applyNumberFormat="1" applyFont="1" applyFill="1" applyBorder="1"/>
    <xf numFmtId="49" fontId="1" fillId="6" borderId="3" xfId="0" applyNumberFormat="1" applyFont="1" applyFill="1" applyBorder="1"/>
    <xf numFmtId="49" fontId="9" fillId="0" borderId="3" xfId="0" applyNumberFormat="1" applyFont="1" applyBorder="1"/>
    <xf numFmtId="49" fontId="6" fillId="7" borderId="3" xfId="0" applyNumberFormat="1" applyFont="1" applyFill="1" applyBorder="1"/>
    <xf numFmtId="49" fontId="1" fillId="7" borderId="3" xfId="0" applyNumberFormat="1" applyFont="1" applyFill="1" applyBorder="1"/>
    <xf numFmtId="49" fontId="6" fillId="8" borderId="3" xfId="0" applyNumberFormat="1" applyFont="1" applyFill="1" applyBorder="1" applyAlignment="1">
      <alignment horizontal="left"/>
    </xf>
    <xf numFmtId="49" fontId="1" fillId="8" borderId="3" xfId="0" applyNumberFormat="1" applyFont="1" applyFill="1" applyBorder="1"/>
    <xf numFmtId="49" fontId="1" fillId="6" borderId="3" xfId="0" applyNumberFormat="1" applyFont="1" applyFill="1" applyBorder="1" applyAlignment="1">
      <alignment horizontal="center" vertical="center"/>
    </xf>
    <xf numFmtId="49" fontId="9" fillId="9" borderId="3" xfId="0" applyNumberFormat="1" applyFont="1" applyFill="1" applyBorder="1" applyAlignment="1">
      <alignment horizontal="center" vertical="center"/>
    </xf>
    <xf numFmtId="49" fontId="5" fillId="7" borderId="3" xfId="0" applyNumberFormat="1" applyFont="1" applyFill="1" applyBorder="1" applyAlignment="1">
      <alignment horizontal="center" vertical="center"/>
    </xf>
    <xf numFmtId="49" fontId="1" fillId="8" borderId="3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10" fontId="1" fillId="6" borderId="3" xfId="0" applyNumberFormat="1" applyFont="1" applyFill="1" applyBorder="1" applyAlignment="1">
      <alignment horizontal="center" vertical="center"/>
    </xf>
    <xf numFmtId="10" fontId="5" fillId="7" borderId="3" xfId="0" applyNumberFormat="1" applyFont="1" applyFill="1" applyBorder="1" applyAlignment="1">
      <alignment horizontal="center" vertical="center"/>
    </xf>
    <xf numFmtId="49" fontId="1" fillId="8" borderId="3" xfId="0" applyNumberFormat="1" applyFont="1" applyFill="1" applyBorder="1" applyAlignment="1">
      <alignment vertical="center"/>
    </xf>
    <xf numFmtId="49" fontId="9" fillId="9" borderId="3" xfId="0" applyNumberFormat="1" applyFont="1" applyFill="1" applyBorder="1"/>
    <xf numFmtId="0" fontId="10" fillId="0" borderId="0" xfId="0" applyFont="1"/>
    <xf numFmtId="0" fontId="2" fillId="0" borderId="0" xfId="0" applyFont="1" applyAlignment="1">
      <alignment wrapText="1"/>
    </xf>
    <xf numFmtId="0" fontId="6" fillId="10" borderId="0" xfId="0" applyFont="1" applyFill="1"/>
    <xf numFmtId="0" fontId="7" fillId="11" borderId="2" xfId="0" applyFont="1" applyFill="1" applyBorder="1" applyAlignment="1">
      <alignment vertical="center"/>
    </xf>
    <xf numFmtId="0" fontId="11" fillId="11" borderId="2" xfId="0" applyFont="1" applyFill="1" applyBorder="1" applyAlignment="1">
      <alignment vertical="center"/>
    </xf>
    <xf numFmtId="0" fontId="7" fillId="11" borderId="4" xfId="0" applyFont="1" applyFill="1" applyBorder="1" applyAlignment="1">
      <alignment vertical="center"/>
    </xf>
    <xf numFmtId="0" fontId="0" fillId="11" borderId="0" xfId="0" applyFill="1"/>
    <xf numFmtId="49" fontId="8" fillId="12" borderId="3" xfId="0" applyNumberFormat="1" applyFont="1" applyFill="1" applyBorder="1" applyAlignment="1">
      <alignment horizontal="left" wrapText="1"/>
    </xf>
    <xf numFmtId="49" fontId="4" fillId="11" borderId="3" xfId="0" applyNumberFormat="1" applyFont="1" applyFill="1" applyBorder="1"/>
    <xf numFmtId="49" fontId="4" fillId="12" borderId="3" xfId="0" applyNumberFormat="1" applyFont="1" applyFill="1" applyBorder="1"/>
    <xf numFmtId="49" fontId="4" fillId="11" borderId="4" xfId="0" applyNumberFormat="1" applyFont="1" applyFill="1" applyBorder="1"/>
    <xf numFmtId="49" fontId="4" fillId="11" borderId="3" xfId="0" applyNumberFormat="1" applyFont="1" applyFill="1" applyBorder="1" applyAlignment="1">
      <alignment horizontal="left" wrapText="1"/>
    </xf>
    <xf numFmtId="49" fontId="4" fillId="12" borderId="3" xfId="0" applyNumberFormat="1" applyFont="1" applyFill="1" applyBorder="1" applyAlignment="1">
      <alignment horizontal="left" wrapText="1"/>
    </xf>
    <xf numFmtId="49" fontId="4" fillId="11" borderId="0" xfId="0" applyNumberFormat="1" applyFont="1" applyFill="1" applyBorder="1"/>
    <xf numFmtId="0" fontId="6" fillId="10" borderId="2" xfId="0" applyFont="1" applyFill="1" applyBorder="1" applyAlignment="1">
      <alignment vertical="center"/>
    </xf>
    <xf numFmtId="0" fontId="6" fillId="10" borderId="4" xfId="0" applyFont="1" applyFill="1" applyBorder="1" applyAlignment="1">
      <alignment vertical="center"/>
    </xf>
    <xf numFmtId="49" fontId="1" fillId="2" borderId="3" xfId="0" applyNumberFormat="1" applyFont="1" applyFill="1" applyBorder="1"/>
    <xf numFmtId="0" fontId="12" fillId="11" borderId="0" xfId="0" applyFont="1" applyFill="1"/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6" fillId="10" borderId="0" xfId="0" applyFont="1" applyFill="1" applyAlignment="1">
      <alignment wrapText="1"/>
    </xf>
  </cellXfs>
  <cellStyles count="1">
    <cellStyle name="Normal" xfId="0" builtinId="0"/>
  </cellStyles>
  <dxfs count="2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 data '!$B$12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1B-470C-84BA-03C59BFADC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1B-470C-84BA-03C59BFADC9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data '!$A$13:$A$14</c:f>
              <c:strCache>
                <c:ptCount val="2"/>
                <c:pt idx="0">
                  <c:v>18-21</c:v>
                </c:pt>
                <c:pt idx="1">
                  <c:v>22-25</c:v>
                </c:pt>
              </c:strCache>
            </c:strRef>
          </c:cat>
          <c:val>
            <c:numRef>
              <c:f>'raw data '!$B$13:$B$14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B-4A9C-B642-DEE269962DAF}"/>
            </c:ext>
          </c:extLst>
        </c:ser>
        <c:ser>
          <c:idx val="1"/>
          <c:order val="1"/>
          <c:tx>
            <c:strRef>
              <c:f>'raw data '!$C$12</c:f>
              <c:strCache>
                <c:ptCount val="1"/>
                <c:pt idx="0">
                  <c:v>persentage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1B-470C-84BA-03C59BFADC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91B-470C-84BA-03C59BFADC9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data '!$A$13:$A$14</c:f>
              <c:strCache>
                <c:ptCount val="2"/>
                <c:pt idx="0">
                  <c:v>18-21</c:v>
                </c:pt>
                <c:pt idx="1">
                  <c:v>22-25</c:v>
                </c:pt>
              </c:strCache>
            </c:strRef>
          </c:cat>
          <c:val>
            <c:numRef>
              <c:f>'raw data '!$C$13:$C$14</c:f>
              <c:numCache>
                <c:formatCode>0.00%</c:formatCode>
                <c:ptCount val="2"/>
                <c:pt idx="0">
                  <c:v>0.3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EB-4A9C-B642-DEE269962DA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 data '!$G$12</c:f>
              <c:strCache>
                <c:ptCount val="1"/>
                <c:pt idx="0">
                  <c:v>persentage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6E-47D7-B57F-A03167E51F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6E-47D7-B57F-A03167E51FA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'raw data '!$E$13:$F$14</c:f>
              <c:multiLvlStrCache>
                <c:ptCount val="2"/>
                <c:lvl>
                  <c:pt idx="0">
                    <c:v>3</c:v>
                  </c:pt>
                  <c:pt idx="1">
                    <c:v>1</c:v>
                  </c:pt>
                </c:lvl>
                <c:lvl>
                  <c:pt idx="0">
                    <c:v>mobile </c:v>
                  </c:pt>
                  <c:pt idx="1">
                    <c:v>desktop</c:v>
                  </c:pt>
                </c:lvl>
              </c:multiLvlStrCache>
            </c:multiLvlStrRef>
          </c:cat>
          <c:val>
            <c:numRef>
              <c:f>'raw data '!$G$13:$G$14</c:f>
              <c:numCache>
                <c:formatCode>0.00%</c:formatCode>
                <c:ptCount val="2"/>
                <c:pt idx="0">
                  <c:v>0.3</c:v>
                </c:pt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1-4FBD-9A27-2D1E104743C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06180592952289"/>
          <c:y val="0.48281500070274708"/>
          <c:w val="0.20052430193425891"/>
          <c:h val="0.1538473134651395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create a shoping frequency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4203849518811"/>
          <c:y val="0.18097222222222226"/>
          <c:w val="0.82054850544535396"/>
          <c:h val="0.60572506561679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'raw data '!$I$12:$I$13</c:f>
              <c:strCache>
                <c:ptCount val="2"/>
                <c:pt idx="0">
                  <c:v>age group</c:v>
                </c:pt>
                <c:pt idx="1">
                  <c:v>18-21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'raw data '!$I$14:$I$15</c:f>
              <c:numCache>
                <c:formatCode>@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D-4815-813C-B417D2A84592}"/>
            </c:ext>
          </c:extLst>
        </c:ser>
        <c:ser>
          <c:idx val="1"/>
          <c:order val="1"/>
          <c:tx>
            <c:strRef>
              <c:f>'raw data '!$J$12:$J$13</c:f>
              <c:strCache>
                <c:ptCount val="2"/>
                <c:pt idx="0">
                  <c:v>once a week</c:v>
                </c:pt>
                <c:pt idx="1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'raw data '!$J$14:$J$15</c:f>
              <c:numCache>
                <c:formatCode>@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FD-4815-813C-B417D2A84592}"/>
            </c:ext>
          </c:extLst>
        </c:ser>
        <c:ser>
          <c:idx val="2"/>
          <c:order val="2"/>
          <c:tx>
            <c:strRef>
              <c:f>'raw data '!$K$12:$K$13</c:f>
              <c:strCache>
                <c:ptCount val="2"/>
                <c:pt idx="0">
                  <c:v>once a month</c:v>
                </c:pt>
                <c:pt idx="1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'raw data '!$K$14:$K$15</c:f>
              <c:numCache>
                <c:formatCode>@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2CFD-4815-813C-B417D2A84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7857784"/>
        <c:axId val="597858504"/>
      </c:barChart>
      <c:catAx>
        <c:axId val="597857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58504"/>
        <c:crosses val="autoZero"/>
        <c:auto val="1"/>
        <c:lblAlgn val="ctr"/>
        <c:lblOffset val="100"/>
        <c:noMultiLvlLbl val="0"/>
      </c:catAx>
      <c:valAx>
        <c:axId val="59785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5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 data '!$B$12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51-4E54-A972-920F9F74DE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51-4E54-A972-920F9F74DE8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data '!$A$13:$A$14</c:f>
              <c:strCache>
                <c:ptCount val="2"/>
                <c:pt idx="0">
                  <c:v>18-21</c:v>
                </c:pt>
                <c:pt idx="1">
                  <c:v>22-25</c:v>
                </c:pt>
              </c:strCache>
            </c:strRef>
          </c:cat>
          <c:val>
            <c:numRef>
              <c:f>'raw data '!$B$13:$B$14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51-4E54-A972-920F9F74DE87}"/>
            </c:ext>
          </c:extLst>
        </c:ser>
        <c:ser>
          <c:idx val="1"/>
          <c:order val="1"/>
          <c:tx>
            <c:strRef>
              <c:f>'raw data '!$C$12</c:f>
              <c:strCache>
                <c:ptCount val="1"/>
                <c:pt idx="0">
                  <c:v>persentage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451-4E54-A972-920F9F74DE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3451-4E54-A972-920F9F74DE8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data '!$A$13:$A$14</c:f>
              <c:strCache>
                <c:ptCount val="2"/>
                <c:pt idx="0">
                  <c:v>18-21</c:v>
                </c:pt>
                <c:pt idx="1">
                  <c:v>22-25</c:v>
                </c:pt>
              </c:strCache>
            </c:strRef>
          </c:cat>
          <c:val>
            <c:numRef>
              <c:f>'raw data '!$C$13:$C$14</c:f>
              <c:numCache>
                <c:formatCode>0.00%</c:formatCode>
                <c:ptCount val="2"/>
                <c:pt idx="0">
                  <c:v>0.3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451-4E54-A972-920F9F74DE8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 data '!$G$12</c:f>
              <c:strCache>
                <c:ptCount val="1"/>
                <c:pt idx="0">
                  <c:v>persentage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C8-4828-8CC5-E409C93128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C8-4828-8CC5-E409C931284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'raw data '!$E$13:$F$14</c:f>
              <c:multiLvlStrCache>
                <c:ptCount val="2"/>
                <c:lvl>
                  <c:pt idx="0">
                    <c:v>3</c:v>
                  </c:pt>
                  <c:pt idx="1">
                    <c:v>1</c:v>
                  </c:pt>
                </c:lvl>
                <c:lvl>
                  <c:pt idx="0">
                    <c:v>mobile </c:v>
                  </c:pt>
                  <c:pt idx="1">
                    <c:v>desktop</c:v>
                  </c:pt>
                </c:lvl>
              </c:multiLvlStrCache>
            </c:multiLvlStrRef>
          </c:cat>
          <c:val>
            <c:numRef>
              <c:f>'raw data '!$G$13:$G$14</c:f>
              <c:numCache>
                <c:formatCode>0.00%</c:formatCode>
                <c:ptCount val="2"/>
                <c:pt idx="0">
                  <c:v>0.3</c:v>
                </c:pt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C8-4828-8CC5-E409C931284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06180592952289"/>
          <c:y val="0.48281500070274708"/>
          <c:w val="0.20052430193425891"/>
          <c:h val="0.1538473134651395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create a shoping frequency by age group</a:t>
            </a:r>
          </a:p>
        </c:rich>
      </c:tx>
      <c:layout>
        <c:manualLayout>
          <c:xMode val="edge"/>
          <c:yMode val="edge"/>
          <c:x val="0.1760812624302954"/>
          <c:y val="5.5045891441844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4203849518811"/>
          <c:y val="0.18097222222222226"/>
          <c:w val="0.82054850544535396"/>
          <c:h val="0.60572506561679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extLst>
                <c:ext xmlns:c15="http://schemas.microsoft.com/office/drawing/2012/chart" uri="{02D57815-91ED-43cb-92C2-25804820EDAC}">
                  <c15:fullRef>
                    <c15:sqref>'raw data '!$I$12:$I$13</c15:sqref>
                  </c15:fullRef>
                  <c15:levelRef>
                    <c15:sqref>'raw data '!$I$12</c15:sqref>
                  </c15:levelRef>
                </c:ext>
              </c:extLst>
              <c:f>'raw data '!$I$12</c:f>
              <c:strCache>
                <c:ptCount val="2"/>
                <c:pt idx="0">
                  <c:v>age group</c:v>
                </c:pt>
                <c:pt idx="1">
                  <c:v>18-21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'raw data '!$I$14:$I$15</c:f>
              <c:numCache>
                <c:formatCode>@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5-4AFB-9FFC-AD3315058480}"/>
            </c:ext>
          </c:extLst>
        </c:ser>
        <c:ser>
          <c:idx val="1"/>
          <c:order val="1"/>
          <c:tx>
            <c:strRef>
              <c:extLst>
                <c:ext xmlns:c15="http://schemas.microsoft.com/office/drawing/2012/chart" uri="{02D57815-91ED-43cb-92C2-25804820EDAC}">
                  <c15:fullRef>
                    <c15:sqref>'raw data '!$J$12:$J$13</c15:sqref>
                  </c15:fullRef>
                  <c15:levelRef>
                    <c15:sqref>'raw data '!$J$12</c15:sqref>
                  </c15:levelRef>
                </c:ext>
              </c:extLst>
              <c:f>'raw data '!$J$12</c:f>
              <c:strCache>
                <c:ptCount val="2"/>
                <c:pt idx="0">
                  <c:v>once a week</c:v>
                </c:pt>
                <c:pt idx="1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'raw data '!$J$14:$J$15</c:f>
              <c:numCache>
                <c:formatCode>@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5-4AFB-9FFC-AD3315058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7857784"/>
        <c:axId val="59785850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ullRef>
                          <c15:sqref>'raw data '!$K$12:$K$13</c15:sqref>
                        </c15:fullRef>
                        <c15:levelRef>
                          <c15:sqref>'raw data '!$K$12</c15:sqref>
                        </c15:levelRef>
                        <c15:formulaRef>
                          <c15:sqref>'raw data '!$K$12</c15:sqref>
                        </c15:formulaRef>
                      </c:ext>
                    </c:extLst>
                    <c:strCache>
                      <c:ptCount val="2"/>
                      <c:pt idx="0">
                        <c:v>once a month</c:v>
                      </c:pt>
                      <c:pt idx="1">
                        <c:v>2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'raw data '!$K$14:$K$15</c15:sqref>
                        </c15:formulaRef>
                      </c:ext>
                    </c:extLst>
                    <c:numCache>
                      <c:formatCode>@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2A5-4AFB-9FFC-AD3315058480}"/>
                  </c:ext>
                </c:extLst>
              </c15:ser>
            </c15:filteredBarSeries>
          </c:ext>
        </c:extLst>
      </c:barChart>
      <c:catAx>
        <c:axId val="597857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58504"/>
        <c:crosses val="autoZero"/>
        <c:auto val="1"/>
        <c:lblAlgn val="ctr"/>
        <c:lblOffset val="100"/>
        <c:noMultiLvlLbl val="0"/>
      </c:catAx>
      <c:valAx>
        <c:axId val="59785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5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14</xdr:row>
      <xdr:rowOff>0</xdr:rowOff>
    </xdr:from>
    <xdr:to>
      <xdr:col>3</xdr:col>
      <xdr:colOff>23812</xdr:colOff>
      <xdr:row>19</xdr:row>
      <xdr:rowOff>11907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7050E7-7DEB-FB07-6AB5-3F37BBE05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5953</xdr:colOff>
      <xdr:row>14</xdr:row>
      <xdr:rowOff>11906</xdr:rowOff>
    </xdr:from>
    <xdr:to>
      <xdr:col>7</xdr:col>
      <xdr:colOff>11905</xdr:colOff>
      <xdr:row>18</xdr:row>
      <xdr:rowOff>559592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1C6F63-3FCF-C5F2-55A9-821D80AA4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11908</xdr:colOff>
      <xdr:row>13</xdr:row>
      <xdr:rowOff>557212</xdr:rowOff>
    </xdr:from>
    <xdr:to>
      <xdr:col>11</xdr:col>
      <xdr:colOff>23813</xdr:colOff>
      <xdr:row>18</xdr:row>
      <xdr:rowOff>547686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7238A9D-4DCF-0C5B-3539-1019ED9C6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335387</xdr:colOff>
      <xdr:row>5</xdr:row>
      <xdr:rowOff>26831</xdr:rowOff>
    </xdr:from>
    <xdr:to>
      <xdr:col>2</xdr:col>
      <xdr:colOff>1702929</xdr:colOff>
      <xdr:row>21</xdr:row>
      <xdr:rowOff>26440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560C80-0D36-47AD-B0B7-19C48C8EF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134155</xdr:colOff>
      <xdr:row>5</xdr:row>
      <xdr:rowOff>40247</xdr:rowOff>
    </xdr:from>
    <xdr:to>
      <xdr:col>6</xdr:col>
      <xdr:colOff>1679758</xdr:colOff>
      <xdr:row>21</xdr:row>
      <xdr:rowOff>20010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D6F4C4-894C-437C-9B38-9ECBFA8D8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26831</xdr:colOff>
      <xdr:row>5</xdr:row>
      <xdr:rowOff>67077</xdr:rowOff>
    </xdr:from>
    <xdr:to>
      <xdr:col>10</xdr:col>
      <xdr:colOff>2173310</xdr:colOff>
      <xdr:row>21</xdr:row>
      <xdr:rowOff>45253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B6C002-E529-4CCC-B387-24750109B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4EABB3-4A26-48F6-BE13-763FB5EA8791}" name="Table5" displayName="Table5" ref="A1:X1048576" totalsRowShown="0" headerRowDxfId="25" headerRowBorderDxfId="24">
  <autoFilter ref="A1:X1048576" xr:uid="{714EABB3-4A26-48F6-BE13-763FB5EA8791}"/>
  <tableColumns count="24">
    <tableColumn id="1" xr3:uid="{09BED240-C718-4DE9-A831-5D421E055EFB}" name="#" dataDxfId="23"/>
    <tableColumn id="2" xr3:uid="{7B5239D6-B93B-4929-88EF-6DC0CA6E51EE}" name=" age group" dataDxfId="22"/>
    <tableColumn id="3" xr3:uid="{2CE8904A-79BA-478D-925F-C86587EF4E3C}" name="gender" dataDxfId="21"/>
    <tableColumn id="4" xr3:uid="{F34ECA9A-4E50-46E1-A7EA-2466E0D26585}" name=" shoping frequently" dataDxfId="20"/>
    <tableColumn id="5" xr3:uid="{97337606-63F7-491B-AF14-6BF8F31957A8}" name=" shop for fashion" dataDxfId="19"/>
    <tableColumn id="6" xr3:uid="{AC6BDD99-B706-4537-A408-3ED6BE28ED51}" name=" platforms for fashion shopping" dataDxfId="18"/>
    <tableColumn id="7" xr3:uid="{A72AE2B5-245F-43E3-A643-85ADB40AB0EC}" name="Other" dataDxfId="17"/>
    <tableColumn id="8" xr3:uid="{E58FD812-19CC-4701-93B4-5501A3067EA2}" name=" device" dataDxfId="16"/>
    <tableColumn id="9" xr3:uid="{19EECECC-EF31-4107-B5E9-45961BE3CA30}" name=" shopping for clothes online" dataDxfId="15"/>
    <tableColumn id="10" xr3:uid="{51155037-BBF3-497D-9C17-F8B8FCCEA0BC}" name=" abandoned a shopping" dataDxfId="14"/>
    <tableColumn id="11" xr3:uid="{D185A9A8-0DCB-4CED-8F74-46A2C768CD84}" name="Wishlist/Favorites" dataDxfId="13"/>
    <tableColumn id="12" xr3:uid="{434EBE03-C407-49B6-AD0E-426643256165}" name="Size " dataDxfId="12"/>
    <tableColumn id="13" xr3:uid="{A87EF1ED-FC02-4DCB-867B-823D3F9AD74A}" name="Personalized suggestions" dataDxfId="11"/>
    <tableColumn id="14" xr3:uid="{AFBE4F82-6581-4BC3-B1A2-D0AF0DB0AD83}" name="One-click checkout" dataDxfId="10"/>
    <tableColumn id="15" xr3:uid="{3BF7DCFA-A5E2-4AD2-BA5C-95405440E284}" name="Style recommendations" dataDxfId="9"/>
    <tableColumn id="16" xr3:uid="{9762945D-AD02-4C24-9505-24832DC1B3DC}" name="Track delivery updates" dataDxfId="8"/>
    <tableColumn id="17" xr3:uid="{AEA7AE5A-9462-4E2F-9D51-947ECD50498F}" name=" dream fashion shopping app " dataDxfId="7"/>
    <tableColumn id="18" xr3:uid="{8A4CA0C6-0B34-4EEF-AB16-9DBAFCC6D44E}" name="Response Type" dataDxfId="6"/>
    <tableColumn id="19" xr3:uid="{6D32AF54-D8D9-41CC-99B2-FC6FA65B7CBA}" name="Start Date (UTC)" dataDxfId="5"/>
    <tableColumn id="20" xr3:uid="{2A250427-0349-4EB6-93B4-6A3798BC0CBC}" name="Stage Date (UTC)" dataDxfId="4"/>
    <tableColumn id="21" xr3:uid="{4045E84F-682A-4AE6-903A-6761F094299B}" name="Submit Date (UTC)" dataDxfId="3"/>
    <tableColumn id="22" xr3:uid="{AD37DF89-7A17-45F5-9405-66A421F8B5A7}" name="Network ID" dataDxfId="2"/>
    <tableColumn id="23" xr3:uid="{60F2C638-3BD8-4812-8226-8FE683330BDC}" name="Tags" dataDxfId="1"/>
    <tableColumn id="24" xr3:uid="{A6017637-69BB-4831-9184-771A55BDDC60}" name="Ending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L15"/>
  <sheetViews>
    <sheetView tabSelected="1" zoomScale="60" zoomScaleNormal="60" workbookViewId="0">
      <selection activeCell="N12" sqref="N12"/>
    </sheetView>
  </sheetViews>
  <sheetFormatPr defaultColWidth="0" defaultRowHeight="44.25" customHeight="1" outlineLevelRow="1" x14ac:dyDescent="0.2"/>
  <cols>
    <col min="1" max="1" width="14.25" style="1" customWidth="1"/>
    <col min="2" max="2" width="11.375" style="1" customWidth="1"/>
    <col min="3" max="3" width="18.75" style="1" customWidth="1"/>
    <col min="4" max="4" width="18" style="1" customWidth="1"/>
    <col min="5" max="5" width="16.25" style="1" customWidth="1"/>
    <col min="6" max="6" width="15.875" style="1" customWidth="1"/>
    <col min="7" max="7" width="10.75" style="1" customWidth="1"/>
    <col min="8" max="8" width="11.25" style="1" customWidth="1"/>
    <col min="9" max="9" width="24.875" style="1" customWidth="1"/>
    <col min="10" max="10" width="21.625" style="1" customWidth="1"/>
    <col min="11" max="11" width="17.25" style="1" customWidth="1"/>
    <col min="12" max="12" width="9.5" style="1" customWidth="1"/>
    <col min="13" max="13" width="23.75" style="1" customWidth="1"/>
    <col min="14" max="14" width="18.375" style="1" customWidth="1"/>
    <col min="15" max="15" width="22" style="1" customWidth="1"/>
    <col min="16" max="16" width="21" style="1" customWidth="1"/>
    <col min="17" max="17" width="26.75" style="1" customWidth="1"/>
    <col min="18" max="18" width="15.625" style="1" customWidth="1"/>
    <col min="19" max="19" width="16.5" style="1" customWidth="1"/>
    <col min="20" max="20" width="17.375" style="1" customWidth="1"/>
    <col min="21" max="21" width="18.375" style="1" customWidth="1"/>
    <col min="22" max="22" width="11.625" style="1" customWidth="1"/>
    <col min="23" max="23" width="9.5" style="1" customWidth="1"/>
    <col min="24" max="24" width="21.125" style="1" customWidth="1"/>
    <col min="3284" max="3284" width="5.875" hidden="1"/>
    <col min="3285" max="3302" width="14.125" hidden="1"/>
    <col min="7703" max="7712" width="13.125" hidden="1"/>
    <col min="16366" max="16366" width="5.875" hidden="1"/>
    <col min="16367" max="16384" width="14.125" hidden="1"/>
  </cols>
  <sheetData>
    <row r="1" spans="1:24" s="3" customFormat="1" ht="44.25" customHeight="1" outlineLevel="1" x14ac:dyDescent="0.2">
      <c r="A1" s="3" t="s">
        <v>0</v>
      </c>
      <c r="B1" s="3" t="s">
        <v>61</v>
      </c>
      <c r="C1" s="3" t="s">
        <v>62</v>
      </c>
      <c r="D1" s="3" t="s">
        <v>63</v>
      </c>
      <c r="E1" s="3" t="s">
        <v>64</v>
      </c>
      <c r="F1" s="3" t="s">
        <v>65</v>
      </c>
      <c r="G1" s="3" t="s">
        <v>1</v>
      </c>
      <c r="H1" s="3" t="s">
        <v>66</v>
      </c>
      <c r="I1" s="3" t="s">
        <v>67</v>
      </c>
      <c r="J1" s="3" t="s">
        <v>68</v>
      </c>
      <c r="K1" s="17" t="s">
        <v>2</v>
      </c>
      <c r="L1" s="17" t="s">
        <v>69</v>
      </c>
      <c r="M1" s="17" t="s">
        <v>3</v>
      </c>
      <c r="N1" s="17" t="s">
        <v>4</v>
      </c>
      <c r="O1" s="17" t="s">
        <v>5</v>
      </c>
      <c r="P1" s="17" t="s">
        <v>6</v>
      </c>
      <c r="Q1" s="9" t="s">
        <v>70</v>
      </c>
      <c r="R1" s="9" t="s">
        <v>7</v>
      </c>
      <c r="S1" s="3" t="s">
        <v>8</v>
      </c>
      <c r="T1" s="3" t="s">
        <v>9</v>
      </c>
      <c r="U1" s="3" t="s">
        <v>10</v>
      </c>
      <c r="V1" s="3" t="s">
        <v>11</v>
      </c>
      <c r="W1" s="3" t="s">
        <v>12</v>
      </c>
      <c r="X1" s="3" t="s">
        <v>13</v>
      </c>
    </row>
    <row r="2" spans="1:24" ht="44.25" customHeight="1" x14ac:dyDescent="0.2">
      <c r="A2" s="4" t="s">
        <v>14</v>
      </c>
      <c r="B2" s="2" t="s">
        <v>15</v>
      </c>
      <c r="C2" s="2" t="s">
        <v>16</v>
      </c>
      <c r="D2" s="2" t="s">
        <v>17</v>
      </c>
      <c r="E2" s="8" t="s">
        <v>18</v>
      </c>
      <c r="F2" s="2" t="s">
        <v>19</v>
      </c>
      <c r="G2" s="2" t="s">
        <v>20</v>
      </c>
      <c r="H2" s="2" t="s">
        <v>21</v>
      </c>
      <c r="I2" s="7" t="s">
        <v>22</v>
      </c>
      <c r="J2" s="1" t="s">
        <v>17</v>
      </c>
      <c r="K2" s="13">
        <v>3</v>
      </c>
      <c r="L2" s="13">
        <v>4</v>
      </c>
      <c r="M2" s="13">
        <v>2</v>
      </c>
      <c r="N2" s="13">
        <v>4</v>
      </c>
      <c r="O2" s="13">
        <v>3</v>
      </c>
      <c r="P2" s="13">
        <v>5</v>
      </c>
      <c r="Q2" s="10" t="s">
        <v>23</v>
      </c>
      <c r="R2" s="10" t="s">
        <v>24</v>
      </c>
      <c r="S2" s="1" t="s">
        <v>25</v>
      </c>
      <c r="T2" s="1" t="s">
        <v>20</v>
      </c>
      <c r="U2" s="1" t="s">
        <v>26</v>
      </c>
      <c r="V2" s="1" t="s">
        <v>27</v>
      </c>
      <c r="W2" s="1" t="s">
        <v>20</v>
      </c>
      <c r="X2" s="1" t="s">
        <v>28</v>
      </c>
    </row>
    <row r="3" spans="1:24" ht="44.25" customHeight="1" x14ac:dyDescent="0.2">
      <c r="A3" s="5" t="s">
        <v>29</v>
      </c>
      <c r="B3" s="2" t="s">
        <v>15</v>
      </c>
      <c r="C3" s="2" t="s">
        <v>16</v>
      </c>
      <c r="D3" s="2" t="s">
        <v>17</v>
      </c>
      <c r="E3" s="2" t="s">
        <v>30</v>
      </c>
      <c r="F3" s="2" t="s">
        <v>31</v>
      </c>
      <c r="G3" s="2" t="s">
        <v>20</v>
      </c>
      <c r="H3" s="2" t="s">
        <v>21</v>
      </c>
      <c r="I3" s="7" t="s">
        <v>32</v>
      </c>
      <c r="J3" s="1" t="s">
        <v>20</v>
      </c>
      <c r="K3" s="13">
        <v>4</v>
      </c>
      <c r="L3" s="13">
        <v>1</v>
      </c>
      <c r="M3" s="13">
        <v>1</v>
      </c>
      <c r="N3" s="13">
        <v>2</v>
      </c>
      <c r="O3" s="13">
        <v>2</v>
      </c>
      <c r="P3" s="13">
        <v>3</v>
      </c>
      <c r="Q3" s="10" t="s">
        <v>20</v>
      </c>
      <c r="R3" s="10" t="s">
        <v>24</v>
      </c>
      <c r="S3" s="1" t="s">
        <v>33</v>
      </c>
      <c r="T3" s="1" t="s">
        <v>20</v>
      </c>
      <c r="U3" s="1" t="s">
        <v>34</v>
      </c>
      <c r="V3" s="1" t="s">
        <v>35</v>
      </c>
      <c r="W3" s="1" t="s">
        <v>20</v>
      </c>
      <c r="X3" s="1" t="s">
        <v>28</v>
      </c>
    </row>
    <row r="4" spans="1:24" ht="44.25" customHeight="1" x14ac:dyDescent="0.2">
      <c r="A4" s="6" t="s">
        <v>36</v>
      </c>
      <c r="B4" s="2" t="s">
        <v>37</v>
      </c>
      <c r="C4" s="2" t="s">
        <v>38</v>
      </c>
      <c r="D4" s="2" t="s">
        <v>39</v>
      </c>
      <c r="E4" s="2" t="s">
        <v>30</v>
      </c>
      <c r="F4" s="2" t="s">
        <v>20</v>
      </c>
      <c r="G4" s="2" t="s">
        <v>20</v>
      </c>
      <c r="H4" s="2" t="s">
        <v>20</v>
      </c>
      <c r="I4" s="1" t="s">
        <v>20</v>
      </c>
      <c r="J4" s="1" t="s">
        <v>20</v>
      </c>
      <c r="K4" s="13"/>
      <c r="L4" s="13"/>
      <c r="M4" s="13" t="s">
        <v>20</v>
      </c>
      <c r="N4" s="13"/>
      <c r="O4" s="13" t="s">
        <v>20</v>
      </c>
      <c r="P4" s="13" t="s">
        <v>20</v>
      </c>
      <c r="Q4" s="10" t="s">
        <v>20</v>
      </c>
      <c r="R4" s="10" t="s">
        <v>24</v>
      </c>
      <c r="S4" s="1" t="s">
        <v>40</v>
      </c>
      <c r="T4" s="1" t="s">
        <v>20</v>
      </c>
      <c r="U4" s="1" t="s">
        <v>41</v>
      </c>
      <c r="V4" s="1" t="s">
        <v>42</v>
      </c>
      <c r="W4" s="1" t="s">
        <v>20</v>
      </c>
      <c r="X4" s="1" t="s">
        <v>28</v>
      </c>
    </row>
    <row r="5" spans="1:24" ht="44.25" customHeight="1" x14ac:dyDescent="0.2">
      <c r="A5" s="5" t="s">
        <v>43</v>
      </c>
      <c r="B5" s="2" t="s">
        <v>15</v>
      </c>
      <c r="C5" s="2" t="s">
        <v>38</v>
      </c>
      <c r="D5" s="2" t="s">
        <v>17</v>
      </c>
      <c r="E5" s="2" t="s">
        <v>18</v>
      </c>
      <c r="F5" s="2" t="s">
        <v>20</v>
      </c>
      <c r="G5" s="2" t="s">
        <v>44</v>
      </c>
      <c r="H5" s="2" t="s">
        <v>21</v>
      </c>
      <c r="I5" s="1" t="s">
        <v>20</v>
      </c>
      <c r="J5" s="1" t="s">
        <v>39</v>
      </c>
      <c r="K5" s="13">
        <v>5</v>
      </c>
      <c r="L5" s="13">
        <v>4</v>
      </c>
      <c r="M5" s="13">
        <v>5</v>
      </c>
      <c r="N5" s="13">
        <v>3</v>
      </c>
      <c r="O5" s="13">
        <v>2</v>
      </c>
      <c r="P5" s="13">
        <v>3</v>
      </c>
      <c r="Q5" s="10" t="s">
        <v>45</v>
      </c>
      <c r="R5" s="10" t="s">
        <v>24</v>
      </c>
      <c r="S5" s="1" t="s">
        <v>46</v>
      </c>
      <c r="T5" s="1" t="s">
        <v>20</v>
      </c>
      <c r="U5" s="1" t="s">
        <v>47</v>
      </c>
      <c r="V5" s="1" t="s">
        <v>48</v>
      </c>
      <c r="W5" s="1" t="s">
        <v>20</v>
      </c>
      <c r="X5" s="1" t="s">
        <v>28</v>
      </c>
    </row>
    <row r="6" spans="1:24" ht="44.25" customHeight="1" x14ac:dyDescent="0.2">
      <c r="A6" s="5" t="s">
        <v>49</v>
      </c>
      <c r="B6" s="2" t="s">
        <v>15</v>
      </c>
      <c r="C6" s="2" t="s">
        <v>38</v>
      </c>
      <c r="D6" s="2" t="s">
        <v>17</v>
      </c>
      <c r="E6" s="2" t="s">
        <v>20</v>
      </c>
      <c r="F6" s="2" t="s">
        <v>19</v>
      </c>
      <c r="G6" s="2" t="s">
        <v>20</v>
      </c>
      <c r="H6" s="2" t="s">
        <v>50</v>
      </c>
      <c r="I6" s="7" t="s">
        <v>51</v>
      </c>
      <c r="J6" s="1" t="s">
        <v>52</v>
      </c>
      <c r="K6" s="13">
        <v>3</v>
      </c>
      <c r="L6" s="13">
        <v>1</v>
      </c>
      <c r="M6" s="13">
        <v>4</v>
      </c>
      <c r="N6" s="13">
        <v>2</v>
      </c>
      <c r="O6" s="13">
        <v>4</v>
      </c>
      <c r="P6" s="13">
        <v>5</v>
      </c>
      <c r="Q6" s="10" t="s">
        <v>45</v>
      </c>
      <c r="R6" s="10" t="s">
        <v>24</v>
      </c>
      <c r="S6" s="1" t="s">
        <v>53</v>
      </c>
      <c r="T6" s="1" t="s">
        <v>20</v>
      </c>
      <c r="U6" s="1" t="s">
        <v>54</v>
      </c>
      <c r="V6" s="1" t="s">
        <v>55</v>
      </c>
      <c r="W6" s="1" t="s">
        <v>20</v>
      </c>
      <c r="X6" s="1" t="s">
        <v>28</v>
      </c>
    </row>
    <row r="7" spans="1:24" ht="44.25" customHeight="1" x14ac:dyDescent="0.2">
      <c r="A7" s="5" t="s">
        <v>56</v>
      </c>
      <c r="B7" s="2" t="s">
        <v>57</v>
      </c>
      <c r="C7" s="2" t="s">
        <v>20</v>
      </c>
      <c r="D7" s="2" t="s">
        <v>20</v>
      </c>
      <c r="E7" s="2" t="s">
        <v>20</v>
      </c>
      <c r="F7" s="2"/>
      <c r="G7" s="2" t="s">
        <v>20</v>
      </c>
      <c r="H7" s="2" t="s">
        <v>20</v>
      </c>
      <c r="I7" s="1" t="s">
        <v>20</v>
      </c>
      <c r="J7" s="1" t="s">
        <v>20</v>
      </c>
      <c r="K7" s="13" t="s">
        <v>20</v>
      </c>
      <c r="L7" s="13"/>
      <c r="M7" s="13" t="s">
        <v>20</v>
      </c>
      <c r="N7" s="13" t="s">
        <v>20</v>
      </c>
      <c r="O7" s="13" t="s">
        <v>20</v>
      </c>
      <c r="P7" s="13" t="s">
        <v>20</v>
      </c>
      <c r="Q7" s="10" t="s">
        <v>20</v>
      </c>
      <c r="R7" s="10" t="s">
        <v>24</v>
      </c>
      <c r="S7" s="1" t="s">
        <v>58</v>
      </c>
      <c r="T7" s="1" t="s">
        <v>20</v>
      </c>
      <c r="U7" s="1" t="s">
        <v>59</v>
      </c>
      <c r="V7" s="1" t="s">
        <v>60</v>
      </c>
      <c r="W7" s="1" t="s">
        <v>20</v>
      </c>
      <c r="X7" s="1" t="s">
        <v>28</v>
      </c>
    </row>
    <row r="8" spans="1:24" ht="44.25" customHeight="1" x14ac:dyDescent="0.2">
      <c r="B8" s="11">
        <f>COUNTA(B2:B7)</f>
        <v>6</v>
      </c>
      <c r="E8" s="7">
        <f>COUNTIFS(E2:E7,"Once a week",B2:B7, "18-21")</f>
        <v>1</v>
      </c>
      <c r="K8" s="14">
        <f t="shared" ref="K8:P8" si="0">AVERAGE(K2:K7)</f>
        <v>3.75</v>
      </c>
      <c r="L8" s="14">
        <f t="shared" si="0"/>
        <v>2.5</v>
      </c>
      <c r="M8" s="13">
        <f t="shared" si="0"/>
        <v>3</v>
      </c>
      <c r="N8" s="13">
        <f t="shared" si="0"/>
        <v>2.75</v>
      </c>
      <c r="O8" s="13">
        <f t="shared" si="0"/>
        <v>2.75</v>
      </c>
      <c r="P8" s="13">
        <f t="shared" si="0"/>
        <v>4</v>
      </c>
    </row>
    <row r="9" spans="1:24" ht="44.25" customHeight="1" x14ac:dyDescent="0.2">
      <c r="B9" s="11">
        <f>COUNTIF(B2:B7, "18-21")</f>
        <v>4</v>
      </c>
      <c r="K9" s="15"/>
      <c r="L9" s="16"/>
      <c r="M9" s="15"/>
      <c r="N9" s="15"/>
      <c r="O9" s="15"/>
      <c r="P9" s="15"/>
    </row>
    <row r="10" spans="1:24" ht="44.25" customHeight="1" x14ac:dyDescent="0.2">
      <c r="B10" s="12">
        <f>COUNTIF(B2:B7, "18-21")/COUNTA(B2:B7)</f>
        <v>0.66666666666666663</v>
      </c>
    </row>
    <row r="11" spans="1:24" ht="44.25" customHeight="1" x14ac:dyDescent="0.25">
      <c r="A11" s="21" t="s">
        <v>80</v>
      </c>
      <c r="B11" s="18"/>
      <c r="C11" s="18"/>
      <c r="E11" s="20" t="s">
        <v>81</v>
      </c>
      <c r="F11" s="19"/>
      <c r="G11" s="19"/>
      <c r="I11" s="31" t="s">
        <v>82</v>
      </c>
      <c r="J11" s="28"/>
      <c r="K11" s="28"/>
    </row>
    <row r="12" spans="1:24" ht="44.25" customHeight="1" x14ac:dyDescent="0.2">
      <c r="A12" s="22" t="s">
        <v>71</v>
      </c>
      <c r="B12" s="22" t="s">
        <v>73</v>
      </c>
      <c r="C12" s="22" t="s">
        <v>72</v>
      </c>
      <c r="D12" s="23"/>
      <c r="E12" s="24" t="s">
        <v>74</v>
      </c>
      <c r="F12" s="24" t="s">
        <v>73</v>
      </c>
      <c r="G12" s="24" t="s">
        <v>75</v>
      </c>
      <c r="H12" s="23"/>
      <c r="I12" s="29" t="s">
        <v>71</v>
      </c>
      <c r="J12" s="29" t="s">
        <v>84</v>
      </c>
      <c r="K12" s="29" t="s">
        <v>83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</row>
    <row r="13" spans="1:24" ht="44.25" customHeight="1" x14ac:dyDescent="0.2">
      <c r="A13" s="22" t="s">
        <v>15</v>
      </c>
      <c r="B13" s="25">
        <v>4</v>
      </c>
      <c r="C13" s="26">
        <v>0.3</v>
      </c>
      <c r="E13" s="24" t="s">
        <v>76</v>
      </c>
      <c r="F13" s="24" t="s">
        <v>78</v>
      </c>
      <c r="G13" s="27">
        <v>0.3</v>
      </c>
      <c r="I13" s="28" t="s">
        <v>15</v>
      </c>
      <c r="J13" s="30" t="s">
        <v>79</v>
      </c>
      <c r="K13" s="28" t="s">
        <v>85</v>
      </c>
    </row>
    <row r="14" spans="1:24" ht="44.25" customHeight="1" x14ac:dyDescent="0.2">
      <c r="A14" s="22" t="s">
        <v>37</v>
      </c>
      <c r="B14" s="25">
        <v>1</v>
      </c>
      <c r="C14" s="26">
        <v>0.4</v>
      </c>
      <c r="E14" s="24" t="s">
        <v>77</v>
      </c>
      <c r="F14" s="24" t="s">
        <v>79</v>
      </c>
      <c r="G14" s="27">
        <v>0.1</v>
      </c>
      <c r="I14" s="28" t="s">
        <v>37</v>
      </c>
      <c r="J14" s="28" t="s">
        <v>79</v>
      </c>
      <c r="K14" s="28"/>
    </row>
    <row r="15" spans="1:24" ht="44.25" customHeight="1" x14ac:dyDescent="0.2">
      <c r="A15" s="2"/>
      <c r="B15" s="11"/>
      <c r="C15" s="2"/>
    </row>
  </sheetData>
  <dataConsolidate/>
  <dataValidations count="1">
    <dataValidation type="whole" allowBlank="1" showInputMessage="1" showErrorMessage="1" sqref="B2 A13 A15 I13" xr:uid="{8B7A264E-8CBC-4F74-A1FC-17840F2B4E68}">
      <formula1>18</formula1>
      <formula2>35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0" verticalDpi="0" r:id="rId1"/>
  <headerFooter>
    <oddHeader>&amp;C&amp;"Times New Roman,Regular"&amp;12&amp;A</oddHeader>
    <oddFooter>&amp;C&amp;"Times New Roman,Regular"&amp;12Page &amp;P</oddFooter>
  </headerFooter>
  <ignoredErrors>
    <ignoredError sqref="B2" listDataValidation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69C6-E270-4B34-8E8D-EAB57FB6EFD6}">
  <sheetPr>
    <tabColor rgb="FFFF0000"/>
  </sheetPr>
  <dimension ref="A2:K5"/>
  <sheetViews>
    <sheetView zoomScale="71" zoomScaleNormal="71" workbookViewId="0">
      <selection activeCell="L25" sqref="L25"/>
    </sheetView>
  </sheetViews>
  <sheetFormatPr defaultRowHeight="14.25" x14ac:dyDescent="0.2"/>
  <cols>
    <col min="1" max="1" width="17.625" customWidth="1"/>
    <col min="3" max="3" width="29.875" customWidth="1"/>
    <col min="4" max="4" width="0.75" customWidth="1"/>
    <col min="6" max="6" width="13.75" customWidth="1"/>
    <col min="7" max="7" width="26.875" customWidth="1"/>
    <col min="8" max="8" width="9" hidden="1" customWidth="1"/>
    <col min="10" max="10" width="21" customWidth="1"/>
    <col min="11" max="11" width="29" customWidth="1"/>
  </cols>
  <sheetData>
    <row r="2" spans="1:11" ht="15.75" x14ac:dyDescent="0.25">
      <c r="A2" s="32" t="s">
        <v>80</v>
      </c>
      <c r="B2" s="33"/>
      <c r="C2" s="33"/>
      <c r="D2" s="34"/>
      <c r="E2" s="35" t="s">
        <v>81</v>
      </c>
      <c r="F2" s="36"/>
      <c r="G2" s="36"/>
      <c r="H2" s="34"/>
      <c r="I2" s="37" t="s">
        <v>82</v>
      </c>
      <c r="J2" s="38"/>
      <c r="K2" s="38"/>
    </row>
    <row r="3" spans="1:11" x14ac:dyDescent="0.2">
      <c r="A3" s="39" t="s">
        <v>71</v>
      </c>
      <c r="B3" s="39" t="s">
        <v>73</v>
      </c>
      <c r="C3" s="39" t="s">
        <v>72</v>
      </c>
      <c r="D3" s="40"/>
      <c r="E3" s="41" t="s">
        <v>74</v>
      </c>
      <c r="F3" s="41" t="s">
        <v>73</v>
      </c>
      <c r="G3" s="41" t="s">
        <v>75</v>
      </c>
      <c r="H3" s="40"/>
      <c r="I3" s="42" t="s">
        <v>71</v>
      </c>
      <c r="J3" s="42" t="s">
        <v>84</v>
      </c>
      <c r="K3" s="42" t="s">
        <v>83</v>
      </c>
    </row>
    <row r="4" spans="1:11" x14ac:dyDescent="0.2">
      <c r="A4" s="39" t="s">
        <v>15</v>
      </c>
      <c r="B4" s="43">
        <v>4</v>
      </c>
      <c r="C4" s="44">
        <v>0.3</v>
      </c>
      <c r="D4" s="34"/>
      <c r="E4" s="41" t="s">
        <v>76</v>
      </c>
      <c r="F4" s="41" t="s">
        <v>78</v>
      </c>
      <c r="G4" s="45">
        <v>0.3</v>
      </c>
      <c r="H4" s="34"/>
      <c r="I4" s="38" t="s">
        <v>15</v>
      </c>
      <c r="J4" s="46" t="s">
        <v>79</v>
      </c>
      <c r="K4" s="38" t="s">
        <v>85</v>
      </c>
    </row>
    <row r="5" spans="1:11" x14ac:dyDescent="0.2">
      <c r="A5" s="39" t="s">
        <v>37</v>
      </c>
      <c r="B5" s="43">
        <v>1</v>
      </c>
      <c r="C5" s="44">
        <v>0.4</v>
      </c>
      <c r="D5" s="47"/>
      <c r="E5" s="41" t="s">
        <v>77</v>
      </c>
      <c r="F5" s="41" t="s">
        <v>79</v>
      </c>
      <c r="G5" s="45">
        <v>0.1</v>
      </c>
      <c r="H5" s="47"/>
      <c r="I5" s="38" t="s">
        <v>37</v>
      </c>
      <c r="J5" s="38" t="s">
        <v>79</v>
      </c>
      <c r="K5" s="38"/>
    </row>
  </sheetData>
  <dataValidations count="1">
    <dataValidation type="whole" allowBlank="1" showInputMessage="1" showErrorMessage="1" sqref="A4 I4" xr:uid="{F0E638CE-F471-490A-B428-CEA6B85701DC}">
      <formula1>18</formula1>
      <formula2>35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7ABE-D5E5-4EBD-A9B6-6237509C2E17}">
  <sheetPr>
    <tabColor rgb="FF00B0F0"/>
  </sheetPr>
  <dimension ref="A1:N45"/>
  <sheetViews>
    <sheetView zoomScale="89" zoomScaleNormal="89" workbookViewId="0">
      <selection activeCell="A38" sqref="A38"/>
    </sheetView>
  </sheetViews>
  <sheetFormatPr defaultRowHeight="14.25" x14ac:dyDescent="0.2"/>
  <cols>
    <col min="1" max="1" width="33.375" customWidth="1"/>
    <col min="2" max="2" width="39.625" customWidth="1"/>
    <col min="3" max="3" width="60.75" customWidth="1"/>
    <col min="4" max="4" width="40" customWidth="1"/>
    <col min="5" max="5" width="31.5" customWidth="1"/>
    <col min="6" max="6" width="52.5" customWidth="1"/>
  </cols>
  <sheetData>
    <row r="1" spans="1:14" ht="23.25" x14ac:dyDescent="0.2">
      <c r="A1" s="52" t="s">
        <v>169</v>
      </c>
      <c r="B1" s="51"/>
      <c r="C1" s="51"/>
      <c r="D1" s="51"/>
      <c r="E1" s="51"/>
      <c r="F1" s="53"/>
      <c r="G1" s="54"/>
      <c r="H1" s="51"/>
      <c r="I1" s="51"/>
      <c r="J1" s="51"/>
      <c r="K1" s="51"/>
      <c r="L1" s="51"/>
      <c r="M1" s="53"/>
      <c r="N1" s="54"/>
    </row>
    <row r="2" spans="1:14" ht="15.75" x14ac:dyDescent="0.25">
      <c r="A2" s="50" t="s">
        <v>93</v>
      </c>
      <c r="B2" s="62" t="s">
        <v>64</v>
      </c>
      <c r="C2" s="62" t="s">
        <v>66</v>
      </c>
      <c r="D2" s="62" t="s">
        <v>65</v>
      </c>
      <c r="E2" s="62" t="s">
        <v>67</v>
      </c>
      <c r="F2" s="63" t="s">
        <v>86</v>
      </c>
      <c r="G2" s="54"/>
      <c r="H2" s="55"/>
      <c r="I2" s="56"/>
      <c r="J2" s="56"/>
      <c r="K2" s="56"/>
      <c r="L2" s="57"/>
      <c r="M2" s="58"/>
      <c r="N2" s="54"/>
    </row>
    <row r="3" spans="1:14" x14ac:dyDescent="0.2">
      <c r="A3" s="55" t="s">
        <v>14</v>
      </c>
      <c r="B3" s="64" t="s">
        <v>18</v>
      </c>
      <c r="C3" s="64" t="s">
        <v>21</v>
      </c>
      <c r="D3" s="64" t="s">
        <v>19</v>
      </c>
      <c r="E3" s="57" t="s">
        <v>22</v>
      </c>
      <c r="F3" s="58" t="s">
        <v>89</v>
      </c>
      <c r="G3" s="54"/>
      <c r="H3" s="59"/>
      <c r="I3" s="56"/>
      <c r="J3" s="56"/>
      <c r="K3" s="56"/>
      <c r="L3" s="56"/>
      <c r="M3" s="58"/>
      <c r="N3" s="54"/>
    </row>
    <row r="4" spans="1:14" ht="28.5" x14ac:dyDescent="0.2">
      <c r="A4" s="59" t="s">
        <v>29</v>
      </c>
      <c r="B4" s="64" t="s">
        <v>30</v>
      </c>
      <c r="C4" s="64" t="s">
        <v>21</v>
      </c>
      <c r="D4" s="64" t="s">
        <v>31</v>
      </c>
      <c r="E4" s="56" t="s">
        <v>32</v>
      </c>
      <c r="F4" s="58" t="s">
        <v>90</v>
      </c>
      <c r="G4" s="54"/>
      <c r="H4" s="60"/>
      <c r="I4" s="56"/>
      <c r="J4" s="56"/>
      <c r="K4" s="56"/>
      <c r="L4" s="57"/>
      <c r="M4" s="61"/>
      <c r="N4" s="54"/>
    </row>
    <row r="5" spans="1:14" x14ac:dyDescent="0.2">
      <c r="A5" s="60" t="s">
        <v>36</v>
      </c>
      <c r="B5" s="64" t="s">
        <v>30</v>
      </c>
      <c r="C5" s="64" t="s">
        <v>20</v>
      </c>
      <c r="D5" s="64" t="s">
        <v>20</v>
      </c>
      <c r="E5" s="57" t="s">
        <v>20</v>
      </c>
      <c r="F5" s="61" t="s">
        <v>87</v>
      </c>
      <c r="G5" s="54"/>
      <c r="H5" s="59"/>
      <c r="I5" s="56"/>
      <c r="J5" s="56"/>
      <c r="K5" s="56"/>
      <c r="L5" s="56"/>
      <c r="M5" s="61"/>
      <c r="N5" s="54"/>
    </row>
    <row r="6" spans="1:14" ht="28.5" x14ac:dyDescent="0.2">
      <c r="A6" s="59" t="s">
        <v>43</v>
      </c>
      <c r="B6" s="64" t="s">
        <v>18</v>
      </c>
      <c r="C6" s="64" t="s">
        <v>21</v>
      </c>
      <c r="D6" s="64" t="s">
        <v>20</v>
      </c>
      <c r="E6" s="56" t="s">
        <v>20</v>
      </c>
      <c r="F6" s="61" t="s">
        <v>88</v>
      </c>
      <c r="G6" s="54"/>
      <c r="H6" s="60"/>
      <c r="I6" s="56"/>
      <c r="J6" s="56"/>
      <c r="K6" s="56"/>
      <c r="L6" s="57"/>
      <c r="M6" s="61"/>
      <c r="N6" s="54"/>
    </row>
    <row r="7" spans="1:14" x14ac:dyDescent="0.2">
      <c r="A7" s="60" t="s">
        <v>49</v>
      </c>
      <c r="B7" s="64" t="s">
        <v>20</v>
      </c>
      <c r="C7" s="64" t="s">
        <v>50</v>
      </c>
      <c r="D7" s="64" t="s">
        <v>19</v>
      </c>
      <c r="E7" s="57" t="s">
        <v>51</v>
      </c>
      <c r="F7" s="61" t="s">
        <v>91</v>
      </c>
      <c r="G7" s="54"/>
      <c r="H7" s="59"/>
      <c r="I7" s="56"/>
      <c r="J7" s="56"/>
      <c r="K7" s="56"/>
      <c r="L7" s="56"/>
      <c r="M7" s="54"/>
      <c r="N7" s="54"/>
    </row>
    <row r="8" spans="1:14" x14ac:dyDescent="0.2">
      <c r="A8" s="59" t="s">
        <v>56</v>
      </c>
      <c r="B8" s="64" t="s">
        <v>20</v>
      </c>
      <c r="C8" s="64" t="s">
        <v>20</v>
      </c>
      <c r="D8" s="64"/>
      <c r="E8" s="56" t="s">
        <v>20</v>
      </c>
      <c r="F8" s="54"/>
      <c r="G8" s="54"/>
      <c r="H8" s="54"/>
      <c r="I8" s="54"/>
      <c r="J8" s="54"/>
      <c r="K8" s="54"/>
      <c r="L8" s="54"/>
      <c r="M8" s="54"/>
      <c r="N8" s="54"/>
    </row>
    <row r="10" spans="1:14" ht="23.25" x14ac:dyDescent="0.35">
      <c r="A10" s="48" t="s">
        <v>92</v>
      </c>
      <c r="D10" s="48"/>
      <c r="E10" s="48" t="s">
        <v>107</v>
      </c>
    </row>
    <row r="11" spans="1:14" ht="15.75" x14ac:dyDescent="0.25">
      <c r="A11" s="50" t="s">
        <v>93</v>
      </c>
      <c r="B11" s="50" t="s">
        <v>12</v>
      </c>
      <c r="C11" s="50" t="s">
        <v>94</v>
      </c>
      <c r="E11" s="50" t="s">
        <v>86</v>
      </c>
      <c r="F11" s="50" t="s">
        <v>108</v>
      </c>
    </row>
    <row r="12" spans="1:14" x14ac:dyDescent="0.2">
      <c r="A12" s="55" t="s">
        <v>14</v>
      </c>
      <c r="B12" t="s">
        <v>95</v>
      </c>
      <c r="C12" s="11" t="s">
        <v>101</v>
      </c>
      <c r="E12" t="s">
        <v>109</v>
      </c>
      <c r="F12" t="s">
        <v>115</v>
      </c>
    </row>
    <row r="13" spans="1:14" ht="28.5" x14ac:dyDescent="0.2">
      <c r="A13" s="59" t="s">
        <v>29</v>
      </c>
      <c r="B13" t="s">
        <v>96</v>
      </c>
      <c r="C13" s="49" t="s">
        <v>102</v>
      </c>
      <c r="E13" t="s">
        <v>110</v>
      </c>
      <c r="F13" t="s">
        <v>116</v>
      </c>
    </row>
    <row r="14" spans="1:14" x14ac:dyDescent="0.2">
      <c r="A14" s="60" t="s">
        <v>36</v>
      </c>
      <c r="B14" t="s">
        <v>97</v>
      </c>
      <c r="C14" s="11" t="s">
        <v>103</v>
      </c>
      <c r="E14" t="s">
        <v>111</v>
      </c>
      <c r="F14" t="s">
        <v>117</v>
      </c>
    </row>
    <row r="15" spans="1:14" ht="28.5" x14ac:dyDescent="0.2">
      <c r="A15" s="59" t="s">
        <v>43</v>
      </c>
      <c r="B15" t="s">
        <v>98</v>
      </c>
      <c r="C15" s="11" t="s">
        <v>104</v>
      </c>
      <c r="E15" t="s">
        <v>112</v>
      </c>
      <c r="F15" s="49" t="s">
        <v>167</v>
      </c>
    </row>
    <row r="16" spans="1:14" ht="31.5" customHeight="1" x14ac:dyDescent="0.2">
      <c r="A16" s="60" t="s">
        <v>49</v>
      </c>
      <c r="B16" t="s">
        <v>99</v>
      </c>
      <c r="C16" s="49" t="s">
        <v>105</v>
      </c>
      <c r="E16" t="s">
        <v>113</v>
      </c>
      <c r="F16" t="s">
        <v>118</v>
      </c>
    </row>
    <row r="17" spans="1:6" ht="42.75" x14ac:dyDescent="0.2">
      <c r="A17" s="59" t="s">
        <v>56</v>
      </c>
      <c r="B17" s="11" t="s">
        <v>100</v>
      </c>
      <c r="C17" s="11" t="s">
        <v>106</v>
      </c>
      <c r="E17" t="s">
        <v>114</v>
      </c>
      <c r="F17" s="49" t="s">
        <v>168</v>
      </c>
    </row>
    <row r="18" spans="1:6" x14ac:dyDescent="0.2">
      <c r="C18" s="11"/>
    </row>
    <row r="19" spans="1:6" x14ac:dyDescent="0.2">
      <c r="F19" s="11"/>
    </row>
    <row r="20" spans="1:6" ht="23.25" x14ac:dyDescent="0.35">
      <c r="A20" s="48" t="s">
        <v>119</v>
      </c>
      <c r="E20" s="48" t="s">
        <v>107</v>
      </c>
    </row>
    <row r="21" spans="1:6" ht="15.75" x14ac:dyDescent="0.25">
      <c r="A21" s="50" t="s">
        <v>93</v>
      </c>
      <c r="B21" s="50" t="s">
        <v>12</v>
      </c>
      <c r="C21" s="50" t="s">
        <v>94</v>
      </c>
      <c r="E21" s="50" t="s">
        <v>86</v>
      </c>
      <c r="F21" s="50" t="s">
        <v>108</v>
      </c>
    </row>
    <row r="22" spans="1:6" x14ac:dyDescent="0.2">
      <c r="A22" s="55" t="s">
        <v>14</v>
      </c>
      <c r="B22" t="s">
        <v>120</v>
      </c>
      <c r="C22" s="11" t="s">
        <v>126</v>
      </c>
      <c r="E22" t="s">
        <v>123</v>
      </c>
      <c r="F22" t="s">
        <v>136</v>
      </c>
    </row>
    <row r="23" spans="1:6" ht="28.5" x14ac:dyDescent="0.2">
      <c r="A23" s="59" t="s">
        <v>29</v>
      </c>
      <c r="B23" t="s">
        <v>121</v>
      </c>
      <c r="C23" s="11" t="s">
        <v>127</v>
      </c>
      <c r="E23" t="s">
        <v>132</v>
      </c>
      <c r="F23" t="s">
        <v>137</v>
      </c>
    </row>
    <row r="24" spans="1:6" x14ac:dyDescent="0.2">
      <c r="A24" s="60" t="s">
        <v>36</v>
      </c>
      <c r="B24" t="s">
        <v>122</v>
      </c>
      <c r="C24" s="11" t="s">
        <v>128</v>
      </c>
      <c r="E24" t="s">
        <v>133</v>
      </c>
      <c r="F24" s="11" t="s">
        <v>139</v>
      </c>
    </row>
    <row r="25" spans="1:6" ht="28.5" x14ac:dyDescent="0.2">
      <c r="A25" s="59" t="s">
        <v>43</v>
      </c>
      <c r="B25" t="s">
        <v>123</v>
      </c>
      <c r="C25" s="49" t="s">
        <v>129</v>
      </c>
      <c r="E25" t="s">
        <v>134</v>
      </c>
      <c r="F25" t="s">
        <v>138</v>
      </c>
    </row>
    <row r="26" spans="1:6" x14ac:dyDescent="0.2">
      <c r="A26" s="60" t="s">
        <v>49</v>
      </c>
      <c r="B26" t="s">
        <v>124</v>
      </c>
      <c r="C26" s="11" t="s">
        <v>130</v>
      </c>
      <c r="E26" t="s">
        <v>135</v>
      </c>
      <c r="F26" t="s">
        <v>140</v>
      </c>
    </row>
    <row r="27" spans="1:6" x14ac:dyDescent="0.2">
      <c r="A27" s="59" t="s">
        <v>56</v>
      </c>
      <c r="B27" s="11" t="s">
        <v>125</v>
      </c>
      <c r="C27" s="11" t="s">
        <v>131</v>
      </c>
      <c r="E27" t="s">
        <v>125</v>
      </c>
      <c r="F27" s="11" t="s">
        <v>141</v>
      </c>
    </row>
    <row r="29" spans="1:6" ht="23.25" x14ac:dyDescent="0.35">
      <c r="A29" s="48" t="s">
        <v>142</v>
      </c>
      <c r="E29" s="48" t="s">
        <v>107</v>
      </c>
    </row>
    <row r="30" spans="1:6" ht="15.75" x14ac:dyDescent="0.25">
      <c r="A30" s="50" t="s">
        <v>93</v>
      </c>
      <c r="B30" s="50" t="s">
        <v>12</v>
      </c>
      <c r="C30" s="50" t="s">
        <v>94</v>
      </c>
      <c r="E30" s="50" t="s">
        <v>86</v>
      </c>
      <c r="F30" s="50" t="s">
        <v>108</v>
      </c>
    </row>
    <row r="31" spans="1:6" ht="28.5" x14ac:dyDescent="0.2">
      <c r="A31" s="55" t="s">
        <v>14</v>
      </c>
      <c r="B31" t="s">
        <v>143</v>
      </c>
      <c r="C31" s="49" t="s">
        <v>150</v>
      </c>
      <c r="E31" t="s">
        <v>156</v>
      </c>
      <c r="F31" s="49" t="s">
        <v>161</v>
      </c>
    </row>
    <row r="32" spans="1:6" ht="42.75" x14ac:dyDescent="0.2">
      <c r="A32" s="59" t="s">
        <v>29</v>
      </c>
      <c r="B32" s="49" t="s">
        <v>147</v>
      </c>
      <c r="C32" s="49" t="s">
        <v>151</v>
      </c>
      <c r="E32" t="s">
        <v>157</v>
      </c>
      <c r="F32" s="49" t="s">
        <v>162</v>
      </c>
    </row>
    <row r="33" spans="1:6" ht="28.5" x14ac:dyDescent="0.2">
      <c r="A33" s="60" t="s">
        <v>36</v>
      </c>
      <c r="B33" s="49" t="s">
        <v>146</v>
      </c>
      <c r="C33" s="49" t="s">
        <v>152</v>
      </c>
      <c r="E33" t="s">
        <v>158</v>
      </c>
      <c r="F33" s="11" t="s">
        <v>163</v>
      </c>
    </row>
    <row r="34" spans="1:6" ht="28.5" x14ac:dyDescent="0.2">
      <c r="A34" s="59" t="s">
        <v>43</v>
      </c>
      <c r="B34" t="s">
        <v>145</v>
      </c>
      <c r="C34" s="49" t="s">
        <v>153</v>
      </c>
      <c r="E34" t="s">
        <v>144</v>
      </c>
      <c r="F34" s="11" t="s">
        <v>164</v>
      </c>
    </row>
    <row r="35" spans="1:6" ht="27.75" customHeight="1" x14ac:dyDescent="0.2">
      <c r="A35" s="60" t="s">
        <v>49</v>
      </c>
      <c r="B35" s="11" t="s">
        <v>148</v>
      </c>
      <c r="C35" s="49" t="s">
        <v>154</v>
      </c>
      <c r="E35" t="s">
        <v>159</v>
      </c>
      <c r="F35" s="49" t="s">
        <v>165</v>
      </c>
    </row>
    <row r="36" spans="1:6" ht="28.5" x14ac:dyDescent="0.2">
      <c r="A36" s="59" t="s">
        <v>56</v>
      </c>
      <c r="B36" s="11" t="s">
        <v>149</v>
      </c>
      <c r="C36" s="49" t="s">
        <v>155</v>
      </c>
      <c r="E36" t="s">
        <v>160</v>
      </c>
      <c r="F36" s="49" t="s">
        <v>166</v>
      </c>
    </row>
    <row r="38" spans="1:6" ht="23.25" x14ac:dyDescent="0.35">
      <c r="A38" s="48" t="s">
        <v>170</v>
      </c>
    </row>
    <row r="39" spans="1:6" ht="15.75" x14ac:dyDescent="0.25">
      <c r="A39" s="50" t="s">
        <v>93</v>
      </c>
      <c r="B39" s="50" t="s">
        <v>169</v>
      </c>
      <c r="C39" s="50" t="s">
        <v>92</v>
      </c>
      <c r="D39" s="50" t="s">
        <v>119</v>
      </c>
      <c r="E39" s="50" t="s">
        <v>142</v>
      </c>
    </row>
    <row r="40" spans="1:6" x14ac:dyDescent="0.2">
      <c r="A40" s="55" t="s">
        <v>14</v>
      </c>
      <c r="B40" s="58" t="s">
        <v>89</v>
      </c>
      <c r="C40" t="s">
        <v>95</v>
      </c>
      <c r="D40" t="s">
        <v>120</v>
      </c>
      <c r="E40" t="s">
        <v>143</v>
      </c>
    </row>
    <row r="41" spans="1:6" ht="28.5" x14ac:dyDescent="0.2">
      <c r="A41" s="59" t="s">
        <v>29</v>
      </c>
      <c r="B41" s="58" t="s">
        <v>90</v>
      </c>
      <c r="C41" t="s">
        <v>96</v>
      </c>
      <c r="D41" t="s">
        <v>121</v>
      </c>
      <c r="E41" s="49" t="s">
        <v>147</v>
      </c>
    </row>
    <row r="42" spans="1:6" ht="28.5" x14ac:dyDescent="0.2">
      <c r="A42" s="60" t="s">
        <v>36</v>
      </c>
      <c r="B42" s="61" t="s">
        <v>87</v>
      </c>
      <c r="C42" t="s">
        <v>97</v>
      </c>
      <c r="D42" t="s">
        <v>122</v>
      </c>
      <c r="E42" s="49" t="s">
        <v>146</v>
      </c>
    </row>
    <row r="43" spans="1:6" ht="28.5" x14ac:dyDescent="0.2">
      <c r="A43" s="59" t="s">
        <v>43</v>
      </c>
      <c r="B43" s="61" t="s">
        <v>88</v>
      </c>
      <c r="C43" t="s">
        <v>98</v>
      </c>
      <c r="D43" t="s">
        <v>123</v>
      </c>
      <c r="E43" t="s">
        <v>145</v>
      </c>
    </row>
    <row r="44" spans="1:6" x14ac:dyDescent="0.2">
      <c r="A44" s="60" t="s">
        <v>49</v>
      </c>
      <c r="B44" s="61" t="s">
        <v>91</v>
      </c>
      <c r="C44" t="s">
        <v>99</v>
      </c>
      <c r="D44" t="s">
        <v>124</v>
      </c>
      <c r="E44" s="11" t="s">
        <v>148</v>
      </c>
    </row>
    <row r="45" spans="1:6" x14ac:dyDescent="0.2">
      <c r="A45" s="59" t="s">
        <v>56</v>
      </c>
      <c r="B45" s="54"/>
      <c r="C45" s="11" t="s">
        <v>100</v>
      </c>
      <c r="D45" s="11" t="s">
        <v>125</v>
      </c>
      <c r="E45" s="11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E2B75-FA16-4873-B93E-0C0AD908722B}">
  <sheetPr>
    <tabColor rgb="FF00B050"/>
  </sheetPr>
  <dimension ref="A1:E17"/>
  <sheetViews>
    <sheetView topLeftCell="A6" zoomScale="93" zoomScaleNormal="93" workbookViewId="0">
      <selection activeCell="A17" sqref="A12:A17"/>
    </sheetView>
  </sheetViews>
  <sheetFormatPr defaultRowHeight="14.25" x14ac:dyDescent="0.2"/>
  <cols>
    <col min="1" max="1" width="36.625" customWidth="1"/>
    <col min="2" max="2" width="56.625" customWidth="1"/>
    <col min="3" max="3" width="41.5" customWidth="1"/>
    <col min="4" max="4" width="43.25" customWidth="1"/>
    <col min="5" max="5" width="35.375" customWidth="1"/>
  </cols>
  <sheetData>
    <row r="1" spans="1:5" ht="23.25" x14ac:dyDescent="0.35">
      <c r="A1" s="48" t="s">
        <v>170</v>
      </c>
      <c r="B1" s="65"/>
      <c r="C1" s="65"/>
      <c r="D1" s="65"/>
      <c r="E1" s="65"/>
    </row>
    <row r="2" spans="1:5" ht="24" customHeight="1" x14ac:dyDescent="0.25">
      <c r="A2" s="50" t="s">
        <v>93</v>
      </c>
      <c r="B2" s="50" t="s">
        <v>169</v>
      </c>
      <c r="C2" s="50" t="s">
        <v>92</v>
      </c>
      <c r="D2" s="50" t="s">
        <v>119</v>
      </c>
      <c r="E2" s="50" t="s">
        <v>142</v>
      </c>
    </row>
    <row r="3" spans="1:5" ht="32.25" customHeight="1" x14ac:dyDescent="0.2">
      <c r="A3" s="55" t="s">
        <v>14</v>
      </c>
      <c r="B3" s="58" t="s">
        <v>89</v>
      </c>
      <c r="C3" t="s">
        <v>95</v>
      </c>
      <c r="D3" t="s">
        <v>120</v>
      </c>
      <c r="E3" t="s">
        <v>143</v>
      </c>
    </row>
    <row r="4" spans="1:5" ht="32.25" customHeight="1" x14ac:dyDescent="0.2">
      <c r="A4" s="59" t="s">
        <v>29</v>
      </c>
      <c r="B4" s="58" t="s">
        <v>90</v>
      </c>
      <c r="C4" t="s">
        <v>96</v>
      </c>
      <c r="D4" t="s">
        <v>121</v>
      </c>
      <c r="E4" s="49" t="s">
        <v>147</v>
      </c>
    </row>
    <row r="5" spans="1:5" ht="32.25" customHeight="1" x14ac:dyDescent="0.2">
      <c r="A5" s="60" t="s">
        <v>36</v>
      </c>
      <c r="B5" s="61" t="s">
        <v>87</v>
      </c>
      <c r="C5" t="s">
        <v>97</v>
      </c>
      <c r="D5" t="s">
        <v>122</v>
      </c>
      <c r="E5" s="49" t="s">
        <v>146</v>
      </c>
    </row>
    <row r="6" spans="1:5" ht="32.25" customHeight="1" x14ac:dyDescent="0.2">
      <c r="A6" s="59" t="s">
        <v>43</v>
      </c>
      <c r="B6" s="61" t="s">
        <v>88</v>
      </c>
      <c r="C6" t="s">
        <v>98</v>
      </c>
      <c r="D6" t="s">
        <v>123</v>
      </c>
      <c r="E6" t="s">
        <v>145</v>
      </c>
    </row>
    <row r="7" spans="1:5" ht="32.25" customHeight="1" x14ac:dyDescent="0.2">
      <c r="A7" s="60" t="s">
        <v>49</v>
      </c>
      <c r="B7" s="61" t="s">
        <v>91</v>
      </c>
      <c r="C7" t="s">
        <v>99</v>
      </c>
      <c r="D7" t="s">
        <v>124</v>
      </c>
      <c r="E7" s="11" t="s">
        <v>148</v>
      </c>
    </row>
    <row r="8" spans="1:5" x14ac:dyDescent="0.2">
      <c r="A8" s="59" t="s">
        <v>56</v>
      </c>
      <c r="B8" s="54"/>
      <c r="C8" s="11" t="s">
        <v>100</v>
      </c>
      <c r="D8" s="11" t="s">
        <v>125</v>
      </c>
      <c r="E8" s="11" t="s">
        <v>149</v>
      </c>
    </row>
    <row r="10" spans="1:5" ht="23.25" x14ac:dyDescent="0.35">
      <c r="A10" s="48" t="s">
        <v>171</v>
      </c>
    </row>
    <row r="11" spans="1:5" ht="15.75" x14ac:dyDescent="0.25">
      <c r="A11" s="50" t="s">
        <v>86</v>
      </c>
      <c r="B11" s="50" t="s">
        <v>175</v>
      </c>
      <c r="C11" s="50" t="s">
        <v>94</v>
      </c>
    </row>
    <row r="12" spans="1:5" x14ac:dyDescent="0.2">
      <c r="A12" s="11" t="s">
        <v>109</v>
      </c>
      <c r="B12" s="11" t="s">
        <v>176</v>
      </c>
      <c r="C12" s="11" t="s">
        <v>177</v>
      </c>
    </row>
    <row r="13" spans="1:5" ht="42.75" x14ac:dyDescent="0.2">
      <c r="A13" t="s">
        <v>110</v>
      </c>
      <c r="B13" s="11" t="s">
        <v>178</v>
      </c>
      <c r="C13" s="49" t="s">
        <v>183</v>
      </c>
    </row>
    <row r="14" spans="1:5" ht="42.75" x14ac:dyDescent="0.2">
      <c r="A14" t="s">
        <v>172</v>
      </c>
      <c r="B14" s="49" t="s">
        <v>179</v>
      </c>
      <c r="C14" s="49" t="s">
        <v>184</v>
      </c>
    </row>
    <row r="15" spans="1:5" ht="28.5" x14ac:dyDescent="0.2">
      <c r="A15" t="s">
        <v>123</v>
      </c>
      <c r="B15" s="49" t="s">
        <v>180</v>
      </c>
      <c r="C15" s="49" t="s">
        <v>185</v>
      </c>
    </row>
    <row r="16" spans="1:5" ht="28.5" x14ac:dyDescent="0.2">
      <c r="A16" t="s">
        <v>173</v>
      </c>
      <c r="B16" s="11" t="s">
        <v>181</v>
      </c>
      <c r="C16" s="49" t="s">
        <v>186</v>
      </c>
    </row>
    <row r="17" spans="1:3" ht="28.5" x14ac:dyDescent="0.2">
      <c r="A17" s="11" t="s">
        <v>174</v>
      </c>
      <c r="B17" s="66" t="s">
        <v>182</v>
      </c>
      <c r="C17" s="49" t="s">
        <v>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969B-E85A-44A4-9266-BFC2A8195D28}">
  <sheetPr>
    <tabColor rgb="FF7030A0"/>
  </sheetPr>
  <dimension ref="A1:D8"/>
  <sheetViews>
    <sheetView workbookViewId="0">
      <selection activeCell="D12" sqref="D12"/>
    </sheetView>
  </sheetViews>
  <sheetFormatPr defaultRowHeight="14.25" x14ac:dyDescent="0.2"/>
  <cols>
    <col min="1" max="1" width="22.125" customWidth="1"/>
    <col min="2" max="2" width="32.25" customWidth="1"/>
    <col min="3" max="3" width="19.375" customWidth="1"/>
    <col min="4" max="4" width="39.5" customWidth="1"/>
  </cols>
  <sheetData>
    <row r="1" spans="1:4" ht="52.5" customHeight="1" x14ac:dyDescent="0.35">
      <c r="A1" s="67" t="s">
        <v>188</v>
      </c>
    </row>
    <row r="2" spans="1:4" ht="15.75" x14ac:dyDescent="0.25">
      <c r="A2" s="68" t="s">
        <v>86</v>
      </c>
      <c r="B2" s="50" t="s">
        <v>189</v>
      </c>
      <c r="C2" s="50" t="s">
        <v>190</v>
      </c>
      <c r="D2" s="50" t="s">
        <v>94</v>
      </c>
    </row>
    <row r="3" spans="1:4" ht="27" customHeight="1" x14ac:dyDescent="0.2">
      <c r="A3" s="11" t="s">
        <v>109</v>
      </c>
      <c r="B3" s="49" t="s">
        <v>191</v>
      </c>
      <c r="C3" t="s">
        <v>197</v>
      </c>
      <c r="D3" s="49" t="s">
        <v>199</v>
      </c>
    </row>
    <row r="4" spans="1:4" ht="32.25" customHeight="1" x14ac:dyDescent="0.2">
      <c r="A4" t="s">
        <v>110</v>
      </c>
      <c r="B4" s="49" t="s">
        <v>196</v>
      </c>
      <c r="C4" t="s">
        <v>197</v>
      </c>
      <c r="D4" s="49" t="s">
        <v>200</v>
      </c>
    </row>
    <row r="5" spans="1:4" ht="28.5" x14ac:dyDescent="0.2">
      <c r="A5" t="s">
        <v>172</v>
      </c>
      <c r="B5" s="49" t="s">
        <v>192</v>
      </c>
      <c r="C5" t="s">
        <v>197</v>
      </c>
      <c r="D5" s="49" t="s">
        <v>201</v>
      </c>
    </row>
    <row r="6" spans="1:4" ht="28.5" x14ac:dyDescent="0.2">
      <c r="A6" t="s">
        <v>123</v>
      </c>
      <c r="B6" s="49" t="s">
        <v>193</v>
      </c>
      <c r="C6" t="s">
        <v>119</v>
      </c>
      <c r="D6" s="49" t="s">
        <v>202</v>
      </c>
    </row>
    <row r="7" spans="1:4" ht="28.5" x14ac:dyDescent="0.2">
      <c r="A7" t="s">
        <v>173</v>
      </c>
      <c r="B7" s="49" t="s">
        <v>194</v>
      </c>
      <c r="C7" t="s">
        <v>119</v>
      </c>
      <c r="D7" s="49" t="s">
        <v>203</v>
      </c>
    </row>
    <row r="8" spans="1:4" ht="42.75" x14ac:dyDescent="0.2">
      <c r="A8" s="11" t="s">
        <v>174</v>
      </c>
      <c r="B8" s="49" t="s">
        <v>195</v>
      </c>
      <c r="C8" t="s">
        <v>198</v>
      </c>
      <c r="D8" s="49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 </vt:lpstr>
      <vt:lpstr>analysis dashboard</vt:lpstr>
      <vt:lpstr>theme identfication</vt:lpstr>
      <vt:lpstr>Group feedback</vt:lpstr>
      <vt:lpstr>Highlight Key 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jbexel89@gmail.com</cp:lastModifiedBy>
  <dcterms:created xsi:type="dcterms:W3CDTF">2025-08-20T12:20:42Z</dcterms:created>
  <dcterms:modified xsi:type="dcterms:W3CDTF">2025-09-20T16:08:23Z</dcterms:modified>
</cp:coreProperties>
</file>